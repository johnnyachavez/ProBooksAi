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COA" sheetId="3" state="visible" r:id="rId3"/>
    <sheet name="Customers" sheetId="4" state="visible" r:id="rId4"/>
    <sheet name="Vendors" sheetId="5" state="visible" r:id="rId5"/>
    <sheet name="Invoices" sheetId="6" state="visible" r:id="rId6"/>
    <sheet name="Invoice_Lines" sheetId="7" state="visible" r:id="rId7"/>
    <sheet name="AR_Payments" sheetId="8" state="visible" r:id="rId8"/>
    <sheet name="Bills" sheetId="9" state="visible" r:id="rId9"/>
    <sheet name="AP_Payments" sheetId="10" state="visible" r:id="rId10"/>
    <sheet name="Journal_Entries" sheetId="11" state="visible" r:id="rId11"/>
    <sheet name="Trial_Balance" sheetId="12" state="visible" r:id="rId12"/>
    <sheet name="P&amp;L" sheetId="13" state="visible" r:id="rId13"/>
    <sheet name="Balance_Sheet" sheetId="14" state="visible" r:id="rId14"/>
    <sheet name="Cash_Flow" sheetId="15" state="visible" r:id="rId15"/>
    <sheet name="AR_Aging" sheetId="16" state="visible" r:id="rId16"/>
    <sheet name="AP_Ag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6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1F3864"/>
      <sz val="10"/>
    </font>
    <font>
      <b val="1"/>
      <color rgb="00FFFFFF"/>
      <sz val="10"/>
    </font>
    <font>
      <b val="1"/>
      <color rgb="001F3864"/>
      <sz val="16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FFFFFF"/>
      <sz val="18"/>
    </font>
    <font>
      <i val="1"/>
      <color rgb="001F3864"/>
      <sz val="11"/>
    </font>
    <font>
      <b val="1"/>
      <color rgb="00FFFFFF"/>
      <sz val="12"/>
    </font>
    <font>
      <b val="1"/>
      <color rgb="00000000"/>
      <sz val="11"/>
    </font>
    <font>
      <color rgb="00000000"/>
      <sz val="11"/>
    </font>
    <font>
      <b val="1"/>
      <color rgb="001E8449"/>
      <sz val="11"/>
    </font>
    <font>
      <color rgb="00AAAAAA"/>
      <sz val="9"/>
    </font>
    <font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D4AC0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0" fontId="12" fillId="5" borderId="1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left" vertical="center" wrapText="1"/>
    </xf>
    <xf numFmtId="1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left" vertical="center" wrapText="1"/>
    </xf>
    <xf numFmtId="10" fontId="7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0" borderId="0" pivotButton="0" quotePrefix="0" xfId="0"/>
    <xf numFmtId="4" fontId="11" fillId="0" borderId="0" pivotButton="0" quotePrefix="0" xfId="0"/>
    <xf numFmtId="0" fontId="13" fillId="0" borderId="0" pivotButton="0" quotePrefix="0" xfId="0"/>
    <xf numFmtId="4" fontId="13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1" fillId="3" borderId="1" pivotButton="0" quotePrefix="0" xfId="0"/>
    <xf numFmtId="4" fontId="11" fillId="3" borderId="1" pivotButton="0" quotePrefix="0" xfId="0"/>
    <xf numFmtId="0" fontId="10" fillId="10" borderId="1" pivotButton="0" quotePrefix="0" xfId="0"/>
    <xf numFmtId="4" fontId="10" fillId="10" borderId="1" pivotButton="0" quotePrefix="0" xfId="0"/>
    <xf numFmtId="0" fontId="5" fillId="2" borderId="1" pivotButton="0" quotePrefix="0" xfId="0"/>
    <xf numFmtId="4" fontId="5" fillId="2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0" fillId="2" borderId="1" pivotButton="0" quotePrefix="0" xfId="0"/>
    <xf numFmtId="4" fontId="10" fillId="2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0" fillId="11" borderId="1" pivotButton="0" quotePrefix="0" xfId="0"/>
    <xf numFmtId="4" fontId="10" fillId="11" borderId="1" pivotButton="0" quotePrefix="0" xfId="0"/>
    <xf numFmtId="0" fontId="10" fillId="10" borderId="1" applyAlignment="1" pivotButton="0" quotePrefix="0" xfId="0">
      <alignment horizontal="center" vertical="center" wrapText="1"/>
    </xf>
    <xf numFmtId="0" fontId="15" fillId="3" borderId="1" pivotButton="0" quotePrefix="0" xfId="0"/>
    <xf numFmtId="4" fontId="15" fillId="3" borderId="1" pivotButton="0" quotePrefix="0" xfId="0"/>
    <xf numFmtId="0" fontId="10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COA" displayName="COA" ref="A3:G51" headerRowCount="1">
  <autoFilter ref="A3:G51"/>
  <tableColumns count="7">
    <tableColumn id="1" name="Account #"/>
    <tableColumn id="2" name="Account Name"/>
    <tableColumn id="3" name="Type"/>
    <tableColumn id="4" name="Sub-Type"/>
    <tableColumn id="5" name="Normal Balance"/>
    <tableColumn id="6" name="Description"/>
    <tableColumn id="7" name="Activ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ustomers" displayName="Customers" ref="A3:V6" headerRowCount="1">
  <autoFilter ref="A3:V6"/>
  <tableColumns count="22">
    <tableColumn id="1" name="Customer ID"/>
    <tableColumn id="2" name="Company Name"/>
    <tableColumn id="3" name="Contact Name"/>
    <tableColumn id="4" name="Title"/>
    <tableColumn id="5" name="Address Line 1"/>
    <tableColumn id="6" name="Address Line 2"/>
    <tableColumn id="7" name="City"/>
    <tableColumn id="8" name="State"/>
    <tableColumn id="9" name="ZIP"/>
    <tableColumn id="10" name="Country"/>
    <tableColumn id="11" name="Phone"/>
    <tableColumn id="12" name="Mobile"/>
    <tableColumn id="13" name="Email"/>
    <tableColumn id="14" name="Website"/>
    <tableColumn id="15" name="Payment Terms (days)"/>
    <tableColumn id="16" name="Credit Limit"/>
    <tableColumn id="17" name="AR Account"/>
    <tableColumn id="18" name="Currency"/>
    <tableColumn id="19" name="Tax Exempt?"/>
    <tableColumn id="20" name="Tax ID"/>
    <tableColumn id="21" name="Notes"/>
    <tableColumn id="22" name="Activ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Vendors" displayName="Vendors" ref="A3:V6" headerRowCount="1">
  <autoFilter ref="A3:V6"/>
  <tableColumns count="22">
    <tableColumn id="1" name="Vendor ID"/>
    <tableColumn id="2" name="Company Name"/>
    <tableColumn id="3" name="Contact Name"/>
    <tableColumn id="4" name="Title"/>
    <tableColumn id="5" name="Address Line 1"/>
    <tableColumn id="6" name="Address Line 2"/>
    <tableColumn id="7" name="City"/>
    <tableColumn id="8" name="State"/>
    <tableColumn id="9" name="ZIP"/>
    <tableColumn id="10" name="Country"/>
    <tableColumn id="11" name="Phone"/>
    <tableColumn id="12" name="Mobile"/>
    <tableColumn id="13" name="Email"/>
    <tableColumn id="14" name="Website"/>
    <tableColumn id="15" name="Payment Terms (days)"/>
    <tableColumn id="16" name="Account #"/>
    <tableColumn id="17" name="AP Account"/>
    <tableColumn id="18" name="1099 Vendor?"/>
    <tableColumn id="19" name="Tax ID"/>
    <tableColumn id="20" name="Default Expense Account"/>
    <tableColumn id="21" name="Notes"/>
    <tableColumn id="22" name="Activ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Invoices" displayName="Invoices" ref="A3:Q7" headerRowCount="1">
  <autoFilter ref="A3:Q7"/>
  <tableColumns count="17">
    <tableColumn id="1" name="Invoice #"/>
    <tableColumn id="2" name="Invoice Date"/>
    <tableColumn id="3" name="Due Date"/>
    <tableColumn id="4" name="Customer ID"/>
    <tableColumn id="5" name="Customer Name"/>
    <tableColumn id="6" name="PO Number"/>
    <tableColumn id="7" name="Subtotal"/>
    <tableColumn id="8" name="Tax Rate"/>
    <tableColumn id="9" name="Tax Amount"/>
    <tableColumn id="10" name="Total"/>
    <tableColumn id="11" name="Payments Applied"/>
    <tableColumn id="12" name="Balance Due"/>
    <tableColumn id="13" name="Status"/>
    <tableColumn id="14" name="AR Account"/>
    <tableColumn id="15" name="Revenue Account"/>
    <tableColumn id="16" name="Accounting Basis"/>
    <tableColumn id="17" name="Not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Invoice_Lines" displayName="Invoice_Lines" ref="A3:I9" headerRowCount="1">
  <autoFilter ref="A3:I9"/>
  <tableColumns count="9">
    <tableColumn id="1" name="Invoice #"/>
    <tableColumn id="2" name="Line #"/>
    <tableColumn id="3" name="Item Code"/>
    <tableColumn id="4" name="Description"/>
    <tableColumn id="5" name="Quantity"/>
    <tableColumn id="6" name="Unit Price"/>
    <tableColumn id="7" name="Line Total"/>
    <tableColumn id="8" name="Revenue Account"/>
    <tableColumn id="9" name="COGS Account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AR_Payments" displayName="AR_Payments" ref="A3:J4" headerRowCount="1">
  <autoFilter ref="A3:J4"/>
  <tableColumns count="10">
    <tableColumn id="1" name="Payment #"/>
    <tableColumn id="2" name="Payment Date"/>
    <tableColumn id="3" name="Invoice #"/>
    <tableColumn id="4" name="Customer ID"/>
    <tableColumn id="5" name="Customer Name"/>
    <tableColumn id="6" name="Amount"/>
    <tableColumn id="7" name="Payment Method"/>
    <tableColumn id="8" name="Reference / Check #"/>
    <tableColumn id="9" name="Deposit Account"/>
    <tableColumn id="10" name="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Bills" displayName="Bills" ref="A3:Q6" headerRowCount="1">
  <autoFilter ref="A3:Q6"/>
  <tableColumns count="17">
    <tableColumn id="1" name="Bill #"/>
    <tableColumn id="2" name="Vendor Bill #"/>
    <tableColumn id="3" name="Bill Date"/>
    <tableColumn id="4" name="Due Date"/>
    <tableColumn id="5" name="Vendor ID"/>
    <tableColumn id="6" name="Vendor Name"/>
    <tableColumn id="7" name="Description"/>
    <tableColumn id="8" name="Subtotal"/>
    <tableColumn id="9" name="Tax Amount"/>
    <tableColumn id="10" name="Total"/>
    <tableColumn id="11" name="Payments Applied"/>
    <tableColumn id="12" name="Balance Due"/>
    <tableColumn id="13" name="Status"/>
    <tableColumn id="14" name="AP Account"/>
    <tableColumn id="15" name="Expense Account"/>
    <tableColumn id="16" name="Accounting Basis"/>
    <tableColumn id="17" name="Note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AP_Payments" displayName="AP_Payments" ref="A3:J4" headerRowCount="1">
  <autoFilter ref="A3:J4"/>
  <tableColumns count="10">
    <tableColumn id="1" name="Payment #"/>
    <tableColumn id="2" name="Payment Date"/>
    <tableColumn id="3" name="Bill #"/>
    <tableColumn id="4" name="Vendor ID"/>
    <tableColumn id="5" name="Vendor Name"/>
    <tableColumn id="6" name="Amount"/>
    <tableColumn id="7" name="Payment Method"/>
    <tableColumn id="8" name="Check # / Reference"/>
    <tableColumn id="9" name="Payment Account"/>
    <tableColumn id="10" name="Notes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Journal_Entries" displayName="Journal_Entries" ref="A3:K16" headerRowCount="1">
  <autoFilter ref="A3:K16"/>
  <tableColumns count="11">
    <tableColumn id="1" name="Entry #"/>
    <tableColumn id="2" name="Date"/>
    <tableColumn id="3" name="Period"/>
    <tableColumn id="4" name="Reference"/>
    <tableColumn id="5" name="Description"/>
    <tableColumn id="6" name="Account #"/>
    <tableColumn id="7" name="Account Name"/>
    <tableColumn id="8" name="Debit"/>
    <tableColumn id="9" name="Credit"/>
    <tableColumn id="10" name="Memo"/>
    <tableColumn id="11" name="Entered By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AR_Aging" displayName="AR_Aging" ref="A3:K6" headerRowCount="1">
  <autoFilter ref="A3:K6"/>
  <tableColumns count="11">
    <tableColumn id="1" name="Invoice #"/>
    <tableColumn id="2" name="Customer"/>
    <tableColumn id="3" name="Invoice Date"/>
    <tableColumn id="4" name="Due Date"/>
    <tableColumn id="5" name="Total"/>
    <tableColumn id="6" name="Current"/>
    <tableColumn id="7" name="1-30 Days"/>
    <tableColumn id="8" name="31-60 Days"/>
    <tableColumn id="9" name="61-90 Days"/>
    <tableColumn id="10" name="91+ Days"/>
    <tableColumn id="11" name="Statu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AP_Aging" displayName="AP_Aging" ref="A3:K5" headerRowCount="1">
  <autoFilter ref="A3:K5"/>
  <tableColumns count="11">
    <tableColumn id="1" name="Bill #"/>
    <tableColumn id="2" name="Vendor"/>
    <tableColumn id="3" name="Bill Date"/>
    <tableColumn id="4" name="Due Date"/>
    <tableColumn id="5" name="Total"/>
    <tableColumn id="6" name="Current"/>
    <tableColumn id="7" name="1-30 Days"/>
    <tableColumn id="8" name="31-60 Days"/>
    <tableColumn id="9" name="61-90 Days"/>
    <tableColumn id="10" name="91+ Days"/>
    <tableColumn id="11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 ht="50" customHeight="1">
      <c r="A1" s="1" t="inlineStr">
        <is>
          <t>🏢  ProBooksAi – Accounting Dashboard</t>
        </is>
      </c>
    </row>
    <row r="2" ht="18" customHeight="1">
      <c r="A2" s="2" t="inlineStr">
        <is>
          <t>Generated: March 30, 2026  |  All amounts in USD</t>
        </is>
      </c>
    </row>
    <row r="4" ht="22" customHeight="1">
      <c r="A4" s="3" t="inlineStr">
        <is>
          <t>Total AR Outstanding</t>
        </is>
      </c>
      <c r="C4" s="3" t="inlineStr">
        <is>
          <t>Total AP Outstanding</t>
        </is>
      </c>
      <c r="E4" s="3" t="inlineStr">
        <is>
          <t>Cash Balance (est.)</t>
        </is>
      </c>
      <c r="G4" s="3" t="inlineStr">
        <is>
          <t>Net Income (YTD)</t>
        </is>
      </c>
    </row>
    <row r="5" ht="36" customHeight="1">
      <c r="A5" s="4">
        <f>SUMIF(Invoices[Status],"Open",Invoices[Balance Due])</f>
        <v/>
      </c>
      <c r="C5" s="4">
        <f>SUMIF(Bills[Status],"Open",Bills[Balance Due])</f>
        <v/>
      </c>
      <c r="E5" s="4">
        <f>SUMPRODUCT((AR_Payments[Amount]))-SUMPRODUCT((AP_Payments[Amount]))</f>
        <v/>
      </c>
      <c r="G5" s="4">
        <f>SUMIF('P&amp;L'!B:B,"Revenue",'P&amp;L'!C:C)-SUMIF('P&amp;L'!B:B,"Expense",'P&amp;L'!C:C)</f>
        <v/>
      </c>
    </row>
    <row r="7" ht="22" customHeight="1">
      <c r="A7" s="5" t="inlineStr">
        <is>
          <t>Sheet Navigator</t>
        </is>
      </c>
    </row>
    <row r="8" ht="22" customHeight="1">
      <c r="A8" s="6" t="inlineStr">
        <is>
          <t>Sheet</t>
        </is>
      </c>
      <c r="B8" s="6" t="inlineStr">
        <is>
          <t>Description</t>
        </is>
      </c>
      <c r="C8" s="6" t="inlineStr">
        <is>
          <t>Tab Name</t>
        </is>
      </c>
    </row>
    <row r="9" ht="16" customHeight="1">
      <c r="A9" s="7" t="inlineStr">
        <is>
          <t>Settings</t>
        </is>
      </c>
      <c r="B9" s="7" t="inlineStr">
        <is>
          <t>Company info &amp; accounting method</t>
        </is>
      </c>
      <c r="C9" s="7" t="inlineStr">
        <is>
          <t>Settings</t>
        </is>
      </c>
    </row>
    <row r="10" ht="16" customHeight="1">
      <c r="A10" s="8" t="inlineStr">
        <is>
          <t>Chart of Accounts</t>
        </is>
      </c>
      <c r="B10" s="8" t="inlineStr">
        <is>
          <t>Full account list</t>
        </is>
      </c>
      <c r="C10" s="8" t="inlineStr">
        <is>
          <t>COA</t>
        </is>
      </c>
    </row>
    <row r="11" ht="16" customHeight="1">
      <c r="A11" s="7" t="inlineStr">
        <is>
          <t>Customers</t>
        </is>
      </c>
      <c r="B11" s="7" t="inlineStr">
        <is>
          <t>Customer master database</t>
        </is>
      </c>
      <c r="C11" s="7" t="inlineStr">
        <is>
          <t>Customers</t>
        </is>
      </c>
    </row>
    <row r="12" ht="16" customHeight="1">
      <c r="A12" s="8" t="inlineStr">
        <is>
          <t>Vendors</t>
        </is>
      </c>
      <c r="B12" s="8" t="inlineStr">
        <is>
          <t>Vendor master database</t>
        </is>
      </c>
      <c r="C12" s="8" t="inlineStr">
        <is>
          <t>Vendors</t>
        </is>
      </c>
    </row>
    <row r="13" ht="16" customHeight="1">
      <c r="A13" s="7" t="inlineStr">
        <is>
          <t>Invoices</t>
        </is>
      </c>
      <c r="B13" s="7" t="inlineStr">
        <is>
          <t>Accounts Receivable invoice register</t>
        </is>
      </c>
      <c r="C13" s="7" t="inlineStr">
        <is>
          <t>Invoices</t>
        </is>
      </c>
    </row>
    <row r="14" ht="16" customHeight="1">
      <c r="A14" s="8" t="inlineStr">
        <is>
          <t>Invoice Lines</t>
        </is>
      </c>
      <c r="B14" s="8" t="inlineStr">
        <is>
          <t>Line-item detail per invoice</t>
        </is>
      </c>
      <c r="C14" s="8" t="inlineStr">
        <is>
          <t>Invoice_Lines</t>
        </is>
      </c>
    </row>
    <row r="15" ht="16" customHeight="1">
      <c r="A15" s="7" t="inlineStr">
        <is>
          <t>AR Payments</t>
        </is>
      </c>
      <c r="B15" s="7" t="inlineStr">
        <is>
          <t>Cash receipts against invoices</t>
        </is>
      </c>
      <c r="C15" s="7" t="inlineStr">
        <is>
          <t>AR_Payments</t>
        </is>
      </c>
    </row>
    <row r="16" ht="16" customHeight="1">
      <c r="A16" s="8" t="inlineStr">
        <is>
          <t>Bills</t>
        </is>
      </c>
      <c r="B16" s="8" t="inlineStr">
        <is>
          <t>Accounts Payable bill register</t>
        </is>
      </c>
      <c r="C16" s="8" t="inlineStr">
        <is>
          <t>Bills</t>
        </is>
      </c>
    </row>
    <row r="17" ht="16" customHeight="1">
      <c r="A17" s="7" t="inlineStr">
        <is>
          <t>AP Payments</t>
        </is>
      </c>
      <c r="B17" s="7" t="inlineStr">
        <is>
          <t>Payments made against bills</t>
        </is>
      </c>
      <c r="C17" s="7" t="inlineStr">
        <is>
          <t>AP_Payments</t>
        </is>
      </c>
    </row>
    <row r="18" ht="16" customHeight="1">
      <c r="A18" s="8" t="inlineStr">
        <is>
          <t>Journal Entries</t>
        </is>
      </c>
      <c r="B18" s="8" t="inlineStr">
        <is>
          <t>General ledger journal entries</t>
        </is>
      </c>
      <c r="C18" s="8" t="inlineStr">
        <is>
          <t>Journal_Entries</t>
        </is>
      </c>
    </row>
    <row r="19" ht="16" customHeight="1">
      <c r="A19" s="7" t="inlineStr">
        <is>
          <t>Trial Balance</t>
        </is>
      </c>
      <c r="B19" s="7" t="inlineStr">
        <is>
          <t>Aggregated debit/credit by account</t>
        </is>
      </c>
      <c r="C19" s="7" t="inlineStr">
        <is>
          <t>Trial_Balance</t>
        </is>
      </c>
    </row>
    <row r="20" ht="16" customHeight="1">
      <c r="A20" s="8" t="inlineStr">
        <is>
          <t>P&amp;L</t>
        </is>
      </c>
      <c r="B20" s="8" t="inlineStr">
        <is>
          <t>Profit &amp; Loss Statement</t>
        </is>
      </c>
      <c r="C20" s="8" t="inlineStr">
        <is>
          <t>P&amp;L</t>
        </is>
      </c>
    </row>
    <row r="21" ht="16" customHeight="1">
      <c r="A21" s="7" t="inlineStr">
        <is>
          <t>Balance Sheet</t>
        </is>
      </c>
      <c r="B21" s="7" t="inlineStr">
        <is>
          <t>Assets / Liabilities / Equity</t>
        </is>
      </c>
      <c r="C21" s="7" t="inlineStr">
        <is>
          <t>Balance_Sheet</t>
        </is>
      </c>
    </row>
    <row r="22" ht="16" customHeight="1">
      <c r="A22" s="8" t="inlineStr">
        <is>
          <t>Cash Flow</t>
        </is>
      </c>
      <c r="B22" s="8" t="inlineStr">
        <is>
          <t>Operating / Investing / Financing</t>
        </is>
      </c>
      <c r="C22" s="8" t="inlineStr">
        <is>
          <t>Cash_Flow</t>
        </is>
      </c>
    </row>
    <row r="23" ht="16" customHeight="1">
      <c r="A23" s="7" t="inlineStr">
        <is>
          <t>AR Aging</t>
        </is>
      </c>
      <c r="B23" s="7" t="inlineStr">
        <is>
          <t>Accounts Receivable aging report</t>
        </is>
      </c>
      <c r="C23" s="7" t="inlineStr">
        <is>
          <t>AR_Aging</t>
        </is>
      </c>
    </row>
    <row r="24" ht="16" customHeight="1">
      <c r="A24" s="8" t="inlineStr">
        <is>
          <t>AP Aging</t>
        </is>
      </c>
      <c r="B24" s="8" t="inlineStr">
        <is>
          <t>Accounts Payable aging report</t>
        </is>
      </c>
      <c r="C24" s="8" t="inlineStr">
        <is>
          <t>AP_Aging</t>
        </is>
      </c>
    </row>
  </sheetData>
  <mergeCells count="11">
    <mergeCell ref="A4:B4"/>
    <mergeCell ref="G4:H4"/>
    <mergeCell ref="A1:J1"/>
    <mergeCell ref="E4:F4"/>
    <mergeCell ref="C5:D5"/>
    <mergeCell ref="A5:B5"/>
    <mergeCell ref="G5:H5"/>
    <mergeCell ref="E5:F5"/>
    <mergeCell ref="A7:J7"/>
    <mergeCell ref="A2:J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H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5" customWidth="1" min="3" max="3"/>
    <col width="5" customWidth="1" min="4" max="4"/>
  </cols>
  <sheetData>
    <row r="1" ht="36" customHeight="1">
      <c r="A1" s="9" t="inlineStr">
        <is>
          <t>⚙️  ProBooksAi – Settings</t>
        </is>
      </c>
    </row>
    <row r="2" ht="18" customHeight="1">
      <c r="A2" s="10" t="inlineStr">
        <is>
          <t>Configure company information and accounting preferences</t>
        </is>
      </c>
    </row>
    <row r="4" ht="20" customHeight="1">
      <c r="A4" s="11" t="inlineStr">
        <is>
          <t>Company Information</t>
        </is>
      </c>
    </row>
    <row r="5">
      <c r="A5" s="12" t="inlineStr">
        <is>
          <t>Company Name</t>
        </is>
      </c>
      <c r="B5" s="13" t="inlineStr">
        <is>
          <t>Your Company, LLC</t>
        </is>
      </c>
    </row>
    <row r="6">
      <c r="A6" s="12" t="inlineStr">
        <is>
          <t>Address Line 1</t>
        </is>
      </c>
      <c r="B6" s="13" t="inlineStr">
        <is>
          <t>123 Main Street</t>
        </is>
      </c>
    </row>
    <row r="7">
      <c r="A7" s="12" t="inlineStr">
        <is>
          <t>Address Line 2</t>
        </is>
      </c>
      <c r="B7" s="13" t="inlineStr">
        <is>
          <t>Suite 100</t>
        </is>
      </c>
    </row>
    <row r="8">
      <c r="A8" s="12" t="inlineStr">
        <is>
          <t>City, State ZIP</t>
        </is>
      </c>
      <c r="B8" s="13" t="inlineStr">
        <is>
          <t>Anytown, CA 90210</t>
        </is>
      </c>
    </row>
    <row r="9">
      <c r="A9" s="12" t="inlineStr">
        <is>
          <t>Phone</t>
        </is>
      </c>
      <c r="B9" s="13" t="inlineStr">
        <is>
          <t>(555) 000-0000</t>
        </is>
      </c>
    </row>
    <row r="10">
      <c r="A10" s="12" t="inlineStr">
        <is>
          <t>Email</t>
        </is>
      </c>
      <c r="B10" s="13" t="inlineStr">
        <is>
          <t>accounting@yourcompany.com</t>
        </is>
      </c>
    </row>
    <row r="11">
      <c r="A11" s="12" t="inlineStr">
        <is>
          <t>Website</t>
        </is>
      </c>
      <c r="B11" s="13" t="inlineStr">
        <is>
          <t>www.yourcompany.com</t>
        </is>
      </c>
    </row>
    <row r="12">
      <c r="A12" s="12" t="inlineStr">
        <is>
          <t>EIN / Tax ID</t>
        </is>
      </c>
      <c r="B12" s="13" t="inlineStr">
        <is>
          <t>XX-XXXXXXX</t>
        </is>
      </c>
    </row>
    <row r="13">
      <c r="A13" s="12" t="inlineStr">
        <is>
          <t>Fiscal Year Start</t>
        </is>
      </c>
      <c r="B13" s="13" t="inlineStr">
        <is>
          <t>01/01</t>
        </is>
      </c>
    </row>
    <row r="14">
      <c r="A14" s="12" t="inlineStr">
        <is>
          <t>Fiscal Year End</t>
        </is>
      </c>
      <c r="B14" s="13" t="inlineStr">
        <is>
          <t>12/31</t>
        </is>
      </c>
    </row>
    <row r="15">
      <c r="A15" s="12" t="inlineStr">
        <is>
          <t>Default Currency</t>
        </is>
      </c>
      <c r="B15" s="13" t="inlineStr">
        <is>
          <t>USD</t>
        </is>
      </c>
    </row>
    <row r="17" ht="20" customHeight="1">
      <c r="A17" s="11" t="inlineStr">
        <is>
          <t>Accounting Method</t>
        </is>
      </c>
    </row>
    <row r="18">
      <c r="A18" s="12" t="inlineStr">
        <is>
          <t>Accounting Basis</t>
        </is>
      </c>
      <c r="B18" s="13" t="inlineStr">
        <is>
          <t>Accrual</t>
        </is>
      </c>
    </row>
    <row r="20" ht="20" customHeight="1">
      <c r="A20" s="11" t="inlineStr">
        <is>
          <t>Tax Settings</t>
        </is>
      </c>
    </row>
    <row r="21">
      <c r="A21" s="12" t="inlineStr">
        <is>
          <t>Default Sales Tax Rate (%)</t>
        </is>
      </c>
      <c r="B21" s="14" t="n">
        <v>0.0725</v>
      </c>
    </row>
    <row r="22">
      <c r="A22" s="12" t="inlineStr">
        <is>
          <t>Tax Account</t>
        </is>
      </c>
      <c r="B22" s="13" t="inlineStr">
        <is>
          <t>Sales Tax Payable</t>
        </is>
      </c>
    </row>
    <row r="24" ht="20" customHeight="1">
      <c r="A24" s="11" t="inlineStr">
        <is>
          <t>Invoice / Bill Defaults</t>
        </is>
      </c>
    </row>
    <row r="25">
      <c r="A25" s="12" t="inlineStr">
        <is>
          <t>Default Payment Terms (days)</t>
        </is>
      </c>
      <c r="B25" s="13" t="n">
        <v>30</v>
      </c>
    </row>
    <row r="26">
      <c r="A26" s="12" t="inlineStr">
        <is>
          <t>Next Invoice Number</t>
        </is>
      </c>
      <c r="B26" s="13" t="n">
        <v>1001</v>
      </c>
    </row>
    <row r="27">
      <c r="A27" s="12" t="inlineStr">
        <is>
          <t>Next Bill Number</t>
        </is>
      </c>
      <c r="B27" s="13" t="n">
        <v>2001</v>
      </c>
    </row>
    <row r="28">
      <c r="A28" s="12" t="inlineStr">
        <is>
          <t>Late Fee (%)</t>
        </is>
      </c>
      <c r="B28" s="14" t="n">
        <v>0.015</v>
      </c>
    </row>
    <row r="29">
      <c r="A29" s="12" t="inlineStr">
        <is>
          <t>Default AR Account</t>
        </is>
      </c>
      <c r="B29" s="13" t="inlineStr">
        <is>
          <t>Accounts Receivable</t>
        </is>
      </c>
    </row>
    <row r="30">
      <c r="A30" s="12" t="inlineStr">
        <is>
          <t>Default AP Account</t>
        </is>
      </c>
      <c r="B30" s="13" t="inlineStr">
        <is>
          <t>Accounts Payable</t>
        </is>
      </c>
    </row>
    <row r="31">
      <c r="A31" s="12" t="inlineStr">
        <is>
          <t>Default Revenue Account</t>
        </is>
      </c>
      <c r="B31" s="13" t="inlineStr">
        <is>
          <t>Sales Revenue</t>
        </is>
      </c>
    </row>
    <row r="32">
      <c r="A32" s="12" t="inlineStr">
        <is>
          <t>Default COGS Account</t>
        </is>
      </c>
      <c r="B32" s="13" t="inlineStr">
        <is>
          <t>Cost of Goods Sold</t>
        </is>
      </c>
    </row>
  </sheetData>
  <mergeCells count="6">
    <mergeCell ref="A17:D17"/>
    <mergeCell ref="A4:D4"/>
    <mergeCell ref="A2:H2"/>
    <mergeCell ref="A20:D20"/>
    <mergeCell ref="A24:D24"/>
    <mergeCell ref="A1:H1"/>
  </mergeCells>
  <dataValidations count="1">
    <dataValidation sqref="B18" showDropDown="0" showInputMessage="0" showErrorMessage="0" allowBlank="0" type="list">
      <formula1>"Accrual,Cash"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16" customWidth="1" min="5" max="5"/>
    <col width="38" customWidth="1" min="6" max="6"/>
    <col width="8" customWidth="1" min="7" max="7"/>
  </cols>
  <sheetData>
    <row r="1" ht="36" customHeight="1">
      <c r="A1" s="9" t="inlineStr">
        <is>
          <t>📊  Chart of Accounts</t>
        </is>
      </c>
    </row>
    <row r="2" ht="18" customHeight="1">
      <c r="A2" s="10" t="inlineStr">
        <is>
          <t>All accounts used in the general ledger</t>
        </is>
      </c>
    </row>
    <row r="3" ht="22" customHeight="1">
      <c r="A3" s="6" t="inlineStr">
        <is>
          <t>Account #</t>
        </is>
      </c>
      <c r="B3" s="6" t="inlineStr">
        <is>
          <t>Account Name</t>
        </is>
      </c>
      <c r="C3" s="6" t="inlineStr">
        <is>
          <t>Type</t>
        </is>
      </c>
      <c r="D3" s="6" t="inlineStr">
        <is>
          <t>Sub-Type</t>
        </is>
      </c>
      <c r="E3" s="6" t="inlineStr">
        <is>
          <t>Normal Balance</t>
        </is>
      </c>
      <c r="F3" s="6" t="inlineStr">
        <is>
          <t>Description</t>
        </is>
      </c>
      <c r="G3" s="6" t="inlineStr">
        <is>
          <t>Active</t>
        </is>
      </c>
    </row>
    <row r="4">
      <c r="A4" s="8" t="inlineStr">
        <is>
          <t>1000</t>
        </is>
      </c>
      <c r="B4" s="8" t="inlineStr">
        <is>
          <t>Cash – Checking</t>
        </is>
      </c>
      <c r="C4" s="8" t="inlineStr">
        <is>
          <t>Asset</t>
        </is>
      </c>
      <c r="D4" s="8" t="inlineStr">
        <is>
          <t>Current Asset</t>
        </is>
      </c>
      <c r="E4" s="8" t="inlineStr">
        <is>
          <t>Debit</t>
        </is>
      </c>
      <c r="F4" s="8" t="inlineStr">
        <is>
          <t>Primary operating bank account</t>
        </is>
      </c>
      <c r="G4" s="8" t="inlineStr">
        <is>
          <t>Yes</t>
        </is>
      </c>
    </row>
    <row r="5">
      <c r="A5" s="7" t="inlineStr">
        <is>
          <t>1010</t>
        </is>
      </c>
      <c r="B5" s="7" t="inlineStr">
        <is>
          <t>Cash – Savings</t>
        </is>
      </c>
      <c r="C5" s="7" t="inlineStr">
        <is>
          <t>Asset</t>
        </is>
      </c>
      <c r="D5" s="7" t="inlineStr">
        <is>
          <t>Current Asset</t>
        </is>
      </c>
      <c r="E5" s="7" t="inlineStr">
        <is>
          <t>Debit</t>
        </is>
      </c>
      <c r="F5" s="7" t="inlineStr">
        <is>
          <t>Business savings account</t>
        </is>
      </c>
      <c r="G5" s="7" t="inlineStr">
        <is>
          <t>Yes</t>
        </is>
      </c>
    </row>
    <row r="6">
      <c r="A6" s="8" t="inlineStr">
        <is>
          <t>1020</t>
        </is>
      </c>
      <c r="B6" s="8" t="inlineStr">
        <is>
          <t>Petty Cash</t>
        </is>
      </c>
      <c r="C6" s="8" t="inlineStr">
        <is>
          <t>Asset</t>
        </is>
      </c>
      <c r="D6" s="8" t="inlineStr">
        <is>
          <t>Current Asset</t>
        </is>
      </c>
      <c r="E6" s="8" t="inlineStr">
        <is>
          <t>Debit</t>
        </is>
      </c>
      <c r="F6" s="8" t="inlineStr">
        <is>
          <t>On-hand petty cash fund</t>
        </is>
      </c>
      <c r="G6" s="8" t="inlineStr">
        <is>
          <t>Yes</t>
        </is>
      </c>
    </row>
    <row r="7">
      <c r="A7" s="7" t="inlineStr">
        <is>
          <t>1100</t>
        </is>
      </c>
      <c r="B7" s="7" t="inlineStr">
        <is>
          <t>Accounts Receivable</t>
        </is>
      </c>
      <c r="C7" s="7" t="inlineStr">
        <is>
          <t>Asset</t>
        </is>
      </c>
      <c r="D7" s="7" t="inlineStr">
        <is>
          <t>Current Asset</t>
        </is>
      </c>
      <c r="E7" s="7" t="inlineStr">
        <is>
          <t>Debit</t>
        </is>
      </c>
      <c r="F7" s="7" t="inlineStr">
        <is>
          <t>Amounts owed by customers</t>
        </is>
      </c>
      <c r="G7" s="7" t="inlineStr">
        <is>
          <t>Yes</t>
        </is>
      </c>
    </row>
    <row r="8">
      <c r="A8" s="8" t="inlineStr">
        <is>
          <t>1110</t>
        </is>
      </c>
      <c r="B8" s="8" t="inlineStr">
        <is>
          <t>Allowance for Doubtful Accts</t>
        </is>
      </c>
      <c r="C8" s="8" t="inlineStr">
        <is>
          <t>Asset</t>
        </is>
      </c>
      <c r="D8" s="8" t="inlineStr">
        <is>
          <t>Current Asset</t>
        </is>
      </c>
      <c r="E8" s="8" t="inlineStr">
        <is>
          <t>Credit</t>
        </is>
      </c>
      <c r="F8" s="8" t="inlineStr">
        <is>
          <t>Contra-AR – estimated uncollectible</t>
        </is>
      </c>
      <c r="G8" s="8" t="inlineStr">
        <is>
          <t>Yes</t>
        </is>
      </c>
    </row>
    <row r="9">
      <c r="A9" s="7" t="inlineStr">
        <is>
          <t>1200</t>
        </is>
      </c>
      <c r="B9" s="7" t="inlineStr">
        <is>
          <t>Inventory</t>
        </is>
      </c>
      <c r="C9" s="7" t="inlineStr">
        <is>
          <t>Asset</t>
        </is>
      </c>
      <c r="D9" s="7" t="inlineStr">
        <is>
          <t>Current Asset</t>
        </is>
      </c>
      <c r="E9" s="7" t="inlineStr">
        <is>
          <t>Debit</t>
        </is>
      </c>
      <c r="F9" s="7" t="inlineStr">
        <is>
          <t>Goods held for sale</t>
        </is>
      </c>
      <c r="G9" s="7" t="inlineStr">
        <is>
          <t>Yes</t>
        </is>
      </c>
    </row>
    <row r="10">
      <c r="A10" s="8" t="inlineStr">
        <is>
          <t>1210</t>
        </is>
      </c>
      <c r="B10" s="8" t="inlineStr">
        <is>
          <t>Prepaid Expenses</t>
        </is>
      </c>
      <c r="C10" s="8" t="inlineStr">
        <is>
          <t>Asset</t>
        </is>
      </c>
      <c r="D10" s="8" t="inlineStr">
        <is>
          <t>Current Asset</t>
        </is>
      </c>
      <c r="E10" s="8" t="inlineStr">
        <is>
          <t>Debit</t>
        </is>
      </c>
      <c r="F10" s="8" t="inlineStr">
        <is>
          <t>Expenses paid in advance</t>
        </is>
      </c>
      <c r="G10" s="8" t="inlineStr">
        <is>
          <t>Yes</t>
        </is>
      </c>
    </row>
    <row r="11">
      <c r="A11" s="7" t="inlineStr">
        <is>
          <t>1500</t>
        </is>
      </c>
      <c r="B11" s="7" t="inlineStr">
        <is>
          <t>Equipment</t>
        </is>
      </c>
      <c r="C11" s="7" t="inlineStr">
        <is>
          <t>Asset</t>
        </is>
      </c>
      <c r="D11" s="7" t="inlineStr">
        <is>
          <t>Fixed Asset</t>
        </is>
      </c>
      <c r="E11" s="7" t="inlineStr">
        <is>
          <t>Debit</t>
        </is>
      </c>
      <c r="F11" s="7" t="inlineStr">
        <is>
          <t>Machinery and equipment</t>
        </is>
      </c>
      <c r="G11" s="7" t="inlineStr">
        <is>
          <t>Yes</t>
        </is>
      </c>
    </row>
    <row r="12">
      <c r="A12" s="8" t="inlineStr">
        <is>
          <t>1510</t>
        </is>
      </c>
      <c r="B12" s="8" t="inlineStr">
        <is>
          <t>Accumulated Depreciation</t>
        </is>
      </c>
      <c r="C12" s="8" t="inlineStr">
        <is>
          <t>Asset</t>
        </is>
      </c>
      <c r="D12" s="8" t="inlineStr">
        <is>
          <t>Fixed Asset</t>
        </is>
      </c>
      <c r="E12" s="8" t="inlineStr">
        <is>
          <t>Credit</t>
        </is>
      </c>
      <c r="F12" s="8" t="inlineStr">
        <is>
          <t>Contra-asset – accumulated depreciation</t>
        </is>
      </c>
      <c r="G12" s="8" t="inlineStr">
        <is>
          <t>Yes</t>
        </is>
      </c>
    </row>
    <row r="13">
      <c r="A13" s="7" t="inlineStr">
        <is>
          <t>1600</t>
        </is>
      </c>
      <c r="B13" s="7" t="inlineStr">
        <is>
          <t>Furniture &amp; Fixtures</t>
        </is>
      </c>
      <c r="C13" s="7" t="inlineStr">
        <is>
          <t>Asset</t>
        </is>
      </c>
      <c r="D13" s="7" t="inlineStr">
        <is>
          <t>Fixed Asset</t>
        </is>
      </c>
      <c r="E13" s="7" t="inlineStr">
        <is>
          <t>Debit</t>
        </is>
      </c>
      <c r="F13" s="7" t="inlineStr">
        <is>
          <t>Office furniture</t>
        </is>
      </c>
      <c r="G13" s="7" t="inlineStr">
        <is>
          <t>Yes</t>
        </is>
      </c>
    </row>
    <row r="14">
      <c r="A14" s="8" t="inlineStr">
        <is>
          <t>1700</t>
        </is>
      </c>
      <c r="B14" s="8" t="inlineStr">
        <is>
          <t>Vehicles</t>
        </is>
      </c>
      <c r="C14" s="8" t="inlineStr">
        <is>
          <t>Asset</t>
        </is>
      </c>
      <c r="D14" s="8" t="inlineStr">
        <is>
          <t>Fixed Asset</t>
        </is>
      </c>
      <c r="E14" s="8" t="inlineStr">
        <is>
          <t>Debit</t>
        </is>
      </c>
      <c r="F14" s="8" t="inlineStr">
        <is>
          <t>Company vehicles</t>
        </is>
      </c>
      <c r="G14" s="8" t="inlineStr">
        <is>
          <t>Yes</t>
        </is>
      </c>
    </row>
    <row r="15">
      <c r="A15" s="7" t="inlineStr">
        <is>
          <t>1800</t>
        </is>
      </c>
      <c r="B15" s="7" t="inlineStr">
        <is>
          <t>Leasehold Improvements</t>
        </is>
      </c>
      <c r="C15" s="7" t="inlineStr">
        <is>
          <t>Asset</t>
        </is>
      </c>
      <c r="D15" s="7" t="inlineStr">
        <is>
          <t>Fixed Asset</t>
        </is>
      </c>
      <c r="E15" s="7" t="inlineStr">
        <is>
          <t>Debit</t>
        </is>
      </c>
      <c r="F15" s="7" t="inlineStr">
        <is>
          <t>Improvements to leased space</t>
        </is>
      </c>
      <c r="G15" s="7" t="inlineStr">
        <is>
          <t>Yes</t>
        </is>
      </c>
    </row>
    <row r="16">
      <c r="A16" s="8" t="inlineStr">
        <is>
          <t>1900</t>
        </is>
      </c>
      <c r="B16" s="8" t="inlineStr">
        <is>
          <t>Other Assets</t>
        </is>
      </c>
      <c r="C16" s="8" t="inlineStr">
        <is>
          <t>Asset</t>
        </is>
      </c>
      <c r="D16" s="8" t="inlineStr">
        <is>
          <t>Other Asset</t>
        </is>
      </c>
      <c r="E16" s="8" t="inlineStr">
        <is>
          <t>Debit</t>
        </is>
      </c>
      <c r="F16" s="8" t="inlineStr">
        <is>
          <t>Miscellaneous assets</t>
        </is>
      </c>
      <c r="G16" s="8" t="inlineStr">
        <is>
          <t>Yes</t>
        </is>
      </c>
    </row>
    <row r="17">
      <c r="A17" s="7" t="inlineStr">
        <is>
          <t>2000</t>
        </is>
      </c>
      <c r="B17" s="7" t="inlineStr">
        <is>
          <t>Accounts Payable</t>
        </is>
      </c>
      <c r="C17" s="7" t="inlineStr">
        <is>
          <t>Liability</t>
        </is>
      </c>
      <c r="D17" s="7" t="inlineStr">
        <is>
          <t>Current Liability</t>
        </is>
      </c>
      <c r="E17" s="7" t="inlineStr">
        <is>
          <t>Credit</t>
        </is>
      </c>
      <c r="F17" s="7" t="inlineStr">
        <is>
          <t>Amounts owed to vendors</t>
        </is>
      </c>
      <c r="G17" s="7" t="inlineStr">
        <is>
          <t>Yes</t>
        </is>
      </c>
    </row>
    <row r="18">
      <c r="A18" s="8" t="inlineStr">
        <is>
          <t>2100</t>
        </is>
      </c>
      <c r="B18" s="8" t="inlineStr">
        <is>
          <t>Accrued Liabilities</t>
        </is>
      </c>
      <c r="C18" s="8" t="inlineStr">
        <is>
          <t>Liability</t>
        </is>
      </c>
      <c r="D18" s="8" t="inlineStr">
        <is>
          <t>Current Liability</t>
        </is>
      </c>
      <c r="E18" s="8" t="inlineStr">
        <is>
          <t>Credit</t>
        </is>
      </c>
      <c r="F18" s="8" t="inlineStr">
        <is>
          <t>Expenses incurred but not yet paid</t>
        </is>
      </c>
      <c r="G18" s="8" t="inlineStr">
        <is>
          <t>Yes</t>
        </is>
      </c>
    </row>
    <row r="19">
      <c r="A19" s="7" t="inlineStr">
        <is>
          <t>2110</t>
        </is>
      </c>
      <c r="B19" s="7" t="inlineStr">
        <is>
          <t>Sales Tax Payable</t>
        </is>
      </c>
      <c r="C19" s="7" t="inlineStr">
        <is>
          <t>Liability</t>
        </is>
      </c>
      <c r="D19" s="7" t="inlineStr">
        <is>
          <t>Current Liability</t>
        </is>
      </c>
      <c r="E19" s="7" t="inlineStr">
        <is>
          <t>Credit</t>
        </is>
      </c>
      <c r="F19" s="7" t="inlineStr">
        <is>
          <t>Sales tax collected, not yet remitted</t>
        </is>
      </c>
      <c r="G19" s="7" t="inlineStr">
        <is>
          <t>Yes</t>
        </is>
      </c>
    </row>
    <row r="20">
      <c r="A20" s="8" t="inlineStr">
        <is>
          <t>2120</t>
        </is>
      </c>
      <c r="B20" s="8" t="inlineStr">
        <is>
          <t>Payroll Tax Payable</t>
        </is>
      </c>
      <c r="C20" s="8" t="inlineStr">
        <is>
          <t>Liability</t>
        </is>
      </c>
      <c r="D20" s="8" t="inlineStr">
        <is>
          <t>Current Liability</t>
        </is>
      </c>
      <c r="E20" s="8" t="inlineStr">
        <is>
          <t>Credit</t>
        </is>
      </c>
      <c r="F20" s="8" t="inlineStr">
        <is>
          <t>Payroll taxes withheld</t>
        </is>
      </c>
      <c r="G20" s="8" t="inlineStr">
        <is>
          <t>Yes</t>
        </is>
      </c>
    </row>
    <row r="21">
      <c r="A21" s="7" t="inlineStr">
        <is>
          <t>2200</t>
        </is>
      </c>
      <c r="B21" s="7" t="inlineStr">
        <is>
          <t>Short-Term Loans Payable</t>
        </is>
      </c>
      <c r="C21" s="7" t="inlineStr">
        <is>
          <t>Liability</t>
        </is>
      </c>
      <c r="D21" s="7" t="inlineStr">
        <is>
          <t>Current Liability</t>
        </is>
      </c>
      <c r="E21" s="7" t="inlineStr">
        <is>
          <t>Credit</t>
        </is>
      </c>
      <c r="F21" s="7" t="inlineStr">
        <is>
          <t>Loans due within 12 months</t>
        </is>
      </c>
      <c r="G21" s="7" t="inlineStr">
        <is>
          <t>Yes</t>
        </is>
      </c>
    </row>
    <row r="22">
      <c r="A22" s="8" t="inlineStr">
        <is>
          <t>2300</t>
        </is>
      </c>
      <c r="B22" s="8" t="inlineStr">
        <is>
          <t>Deferred Revenue</t>
        </is>
      </c>
      <c r="C22" s="8" t="inlineStr">
        <is>
          <t>Liability</t>
        </is>
      </c>
      <c r="D22" s="8" t="inlineStr">
        <is>
          <t>Current Liability</t>
        </is>
      </c>
      <c r="E22" s="8" t="inlineStr">
        <is>
          <t>Credit</t>
        </is>
      </c>
      <c r="F22" s="8" t="inlineStr">
        <is>
          <t>Cash received for services not yet delivered</t>
        </is>
      </c>
      <c r="G22" s="8" t="inlineStr">
        <is>
          <t>Yes</t>
        </is>
      </c>
    </row>
    <row r="23">
      <c r="A23" s="7" t="inlineStr">
        <is>
          <t>2500</t>
        </is>
      </c>
      <c r="B23" s="7" t="inlineStr">
        <is>
          <t>Long-Term Debt</t>
        </is>
      </c>
      <c r="C23" s="7" t="inlineStr">
        <is>
          <t>Liability</t>
        </is>
      </c>
      <c r="D23" s="7" t="inlineStr">
        <is>
          <t>Long-Term Liability</t>
        </is>
      </c>
      <c r="E23" s="7" t="inlineStr">
        <is>
          <t>Credit</t>
        </is>
      </c>
      <c r="F23" s="7" t="inlineStr">
        <is>
          <t>Loans/debt due after 12 months</t>
        </is>
      </c>
      <c r="G23" s="7" t="inlineStr">
        <is>
          <t>Yes</t>
        </is>
      </c>
    </row>
    <row r="24">
      <c r="A24" s="8" t="inlineStr">
        <is>
          <t>3000</t>
        </is>
      </c>
      <c r="B24" s="8" t="inlineStr">
        <is>
          <t>Common Stock</t>
        </is>
      </c>
      <c r="C24" s="8" t="inlineStr">
        <is>
          <t>Equity</t>
        </is>
      </c>
      <c r="D24" s="8" t="inlineStr">
        <is>
          <t>Paid-In Capital</t>
        </is>
      </c>
      <c r="E24" s="8" t="inlineStr">
        <is>
          <t>Credit</t>
        </is>
      </c>
      <c r="F24" s="8" t="inlineStr">
        <is>
          <t>Stockholder-contributed capital</t>
        </is>
      </c>
      <c r="G24" s="8" t="inlineStr">
        <is>
          <t>Yes</t>
        </is>
      </c>
    </row>
    <row r="25">
      <c r="A25" s="7" t="inlineStr">
        <is>
          <t>3100</t>
        </is>
      </c>
      <c r="B25" s="7" t="inlineStr">
        <is>
          <t>Retained Earnings</t>
        </is>
      </c>
      <c r="C25" s="7" t="inlineStr">
        <is>
          <t>Equity</t>
        </is>
      </c>
      <c r="D25" s="7" t="inlineStr">
        <is>
          <t>Retained Earnings</t>
        </is>
      </c>
      <c r="E25" s="7" t="inlineStr">
        <is>
          <t>Credit</t>
        </is>
      </c>
      <c r="F25" s="7" t="inlineStr">
        <is>
          <t>Accumulated profits (prior periods)</t>
        </is>
      </c>
      <c r="G25" s="7" t="inlineStr">
        <is>
          <t>Yes</t>
        </is>
      </c>
    </row>
    <row r="26">
      <c r="A26" s="8" t="inlineStr">
        <is>
          <t>3200</t>
        </is>
      </c>
      <c r="B26" s="8" t="inlineStr">
        <is>
          <t>Owner's Draw</t>
        </is>
      </c>
      <c r="C26" s="8" t="inlineStr">
        <is>
          <t>Equity</t>
        </is>
      </c>
      <c r="D26" s="8" t="inlineStr">
        <is>
          <t>Owner's Draw</t>
        </is>
      </c>
      <c r="E26" s="8" t="inlineStr">
        <is>
          <t>Debit</t>
        </is>
      </c>
      <c r="F26" s="8" t="inlineStr">
        <is>
          <t>Owner withdrawals</t>
        </is>
      </c>
      <c r="G26" s="8" t="inlineStr">
        <is>
          <t>Yes</t>
        </is>
      </c>
    </row>
    <row r="27">
      <c r="A27" s="7" t="inlineStr">
        <is>
          <t>4000</t>
        </is>
      </c>
      <c r="B27" s="7" t="inlineStr">
        <is>
          <t>Sales Revenue</t>
        </is>
      </c>
      <c r="C27" s="7" t="inlineStr">
        <is>
          <t>Revenue</t>
        </is>
      </c>
      <c r="D27" s="7" t="inlineStr">
        <is>
          <t>Operating Revenue</t>
        </is>
      </c>
      <c r="E27" s="7" t="inlineStr">
        <is>
          <t>Credit</t>
        </is>
      </c>
      <c r="F27" s="7" t="inlineStr">
        <is>
          <t>Primary product/service revenue</t>
        </is>
      </c>
      <c r="G27" s="7" t="inlineStr">
        <is>
          <t>Yes</t>
        </is>
      </c>
    </row>
    <row r="28">
      <c r="A28" s="8" t="inlineStr">
        <is>
          <t>4100</t>
        </is>
      </c>
      <c r="B28" s="8" t="inlineStr">
        <is>
          <t>Service Revenue</t>
        </is>
      </c>
      <c r="C28" s="8" t="inlineStr">
        <is>
          <t>Revenue</t>
        </is>
      </c>
      <c r="D28" s="8" t="inlineStr">
        <is>
          <t>Operating Revenue</t>
        </is>
      </c>
      <c r="E28" s="8" t="inlineStr">
        <is>
          <t>Credit</t>
        </is>
      </c>
      <c r="F28" s="8" t="inlineStr">
        <is>
          <t>Professional services income</t>
        </is>
      </c>
      <c r="G28" s="8" t="inlineStr">
        <is>
          <t>Yes</t>
        </is>
      </c>
    </row>
    <row r="29">
      <c r="A29" s="7" t="inlineStr">
        <is>
          <t>4200</t>
        </is>
      </c>
      <c r="B29" s="7" t="inlineStr">
        <is>
          <t>Other Income</t>
        </is>
      </c>
      <c r="C29" s="7" t="inlineStr">
        <is>
          <t>Revenue</t>
        </is>
      </c>
      <c r="D29" s="7" t="inlineStr">
        <is>
          <t>Other Income</t>
        </is>
      </c>
      <c r="E29" s="7" t="inlineStr">
        <is>
          <t>Credit</t>
        </is>
      </c>
      <c r="F29" s="7" t="inlineStr">
        <is>
          <t>Non-operating income</t>
        </is>
      </c>
      <c r="G29" s="7" t="inlineStr">
        <is>
          <t>Yes</t>
        </is>
      </c>
    </row>
    <row r="30">
      <c r="A30" s="8" t="inlineStr">
        <is>
          <t>4300</t>
        </is>
      </c>
      <c r="B30" s="8" t="inlineStr">
        <is>
          <t>Interest Income</t>
        </is>
      </c>
      <c r="C30" s="8" t="inlineStr">
        <is>
          <t>Revenue</t>
        </is>
      </c>
      <c r="D30" s="8" t="inlineStr">
        <is>
          <t>Other Income</t>
        </is>
      </c>
      <c r="E30" s="8" t="inlineStr">
        <is>
          <t>Credit</t>
        </is>
      </c>
      <c r="F30" s="8" t="inlineStr">
        <is>
          <t>Interest earned</t>
        </is>
      </c>
      <c r="G30" s="8" t="inlineStr">
        <is>
          <t>Yes</t>
        </is>
      </c>
    </row>
    <row r="31">
      <c r="A31" s="7" t="inlineStr">
        <is>
          <t>5000</t>
        </is>
      </c>
      <c r="B31" s="7" t="inlineStr">
        <is>
          <t>Cost of Goods Sold</t>
        </is>
      </c>
      <c r="C31" s="7" t="inlineStr">
        <is>
          <t>Expense</t>
        </is>
      </c>
      <c r="D31" s="7" t="inlineStr">
        <is>
          <t>COGS</t>
        </is>
      </c>
      <c r="E31" s="7" t="inlineStr">
        <is>
          <t>Debit</t>
        </is>
      </c>
      <c r="F31" s="7" t="inlineStr">
        <is>
          <t>Direct cost of products sold</t>
        </is>
      </c>
      <c r="G31" s="7" t="inlineStr">
        <is>
          <t>Yes</t>
        </is>
      </c>
    </row>
    <row r="32">
      <c r="A32" s="8" t="inlineStr">
        <is>
          <t>5100</t>
        </is>
      </c>
      <c r="B32" s="8" t="inlineStr">
        <is>
          <t>Direct Labor</t>
        </is>
      </c>
      <c r="C32" s="8" t="inlineStr">
        <is>
          <t>Expense</t>
        </is>
      </c>
      <c r="D32" s="8" t="inlineStr">
        <is>
          <t>COGS</t>
        </is>
      </c>
      <c r="E32" s="8" t="inlineStr">
        <is>
          <t>Debit</t>
        </is>
      </c>
      <c r="F32" s="8" t="inlineStr">
        <is>
          <t>Labor directly tied to production</t>
        </is>
      </c>
      <c r="G32" s="8" t="inlineStr">
        <is>
          <t>Yes</t>
        </is>
      </c>
    </row>
    <row r="33">
      <c r="A33" s="7" t="inlineStr">
        <is>
          <t>5200</t>
        </is>
      </c>
      <c r="B33" s="7" t="inlineStr">
        <is>
          <t>Freight &amp; Shipping</t>
        </is>
      </c>
      <c r="C33" s="7" t="inlineStr">
        <is>
          <t>Expense</t>
        </is>
      </c>
      <c r="D33" s="7" t="inlineStr">
        <is>
          <t>COGS</t>
        </is>
      </c>
      <c r="E33" s="7" t="inlineStr">
        <is>
          <t>Debit</t>
        </is>
      </c>
      <c r="F33" s="7" t="inlineStr">
        <is>
          <t>Shipping costs of goods sold</t>
        </is>
      </c>
      <c r="G33" s="7" t="inlineStr">
        <is>
          <t>Yes</t>
        </is>
      </c>
    </row>
    <row r="34">
      <c r="A34" s="8" t="inlineStr">
        <is>
          <t>6000</t>
        </is>
      </c>
      <c r="B34" s="8" t="inlineStr">
        <is>
          <t>Salaries &amp; Wages</t>
        </is>
      </c>
      <c r="C34" s="8" t="inlineStr">
        <is>
          <t>Expense</t>
        </is>
      </c>
      <c r="D34" s="8" t="inlineStr">
        <is>
          <t>Operating Expense</t>
        </is>
      </c>
      <c r="E34" s="8" t="inlineStr">
        <is>
          <t>Debit</t>
        </is>
      </c>
      <c r="F34" s="8" t="inlineStr">
        <is>
          <t>Employee compensation</t>
        </is>
      </c>
      <c r="G34" s="8" t="inlineStr">
        <is>
          <t>Yes</t>
        </is>
      </c>
    </row>
    <row r="35">
      <c r="A35" s="7" t="inlineStr">
        <is>
          <t>6010</t>
        </is>
      </c>
      <c r="B35" s="7" t="inlineStr">
        <is>
          <t>Payroll Taxes</t>
        </is>
      </c>
      <c r="C35" s="7" t="inlineStr">
        <is>
          <t>Expense</t>
        </is>
      </c>
      <c r="D35" s="7" t="inlineStr">
        <is>
          <t>Operating Expense</t>
        </is>
      </c>
      <c r="E35" s="7" t="inlineStr">
        <is>
          <t>Debit</t>
        </is>
      </c>
      <c r="F35" s="7" t="inlineStr">
        <is>
          <t>Employer payroll taxes</t>
        </is>
      </c>
      <c r="G35" s="7" t="inlineStr">
        <is>
          <t>Yes</t>
        </is>
      </c>
    </row>
    <row r="36">
      <c r="A36" s="8" t="inlineStr">
        <is>
          <t>6020</t>
        </is>
      </c>
      <c r="B36" s="8" t="inlineStr">
        <is>
          <t>Employee Benefits</t>
        </is>
      </c>
      <c r="C36" s="8" t="inlineStr">
        <is>
          <t>Expense</t>
        </is>
      </c>
      <c r="D36" s="8" t="inlineStr">
        <is>
          <t>Operating Expense</t>
        </is>
      </c>
      <c r="E36" s="8" t="inlineStr">
        <is>
          <t>Debit</t>
        </is>
      </c>
      <c r="F36" s="8" t="inlineStr">
        <is>
          <t>Health insurance, 401k, etc.</t>
        </is>
      </c>
      <c r="G36" s="8" t="inlineStr">
        <is>
          <t>Yes</t>
        </is>
      </c>
    </row>
    <row r="37">
      <c r="A37" s="7" t="inlineStr">
        <is>
          <t>6100</t>
        </is>
      </c>
      <c r="B37" s="7" t="inlineStr">
        <is>
          <t>Rent Expense</t>
        </is>
      </c>
      <c r="C37" s="7" t="inlineStr">
        <is>
          <t>Expense</t>
        </is>
      </c>
      <c r="D37" s="7" t="inlineStr">
        <is>
          <t>Operating Expense</t>
        </is>
      </c>
      <c r="E37" s="7" t="inlineStr">
        <is>
          <t>Debit</t>
        </is>
      </c>
      <c r="F37" s="7" t="inlineStr">
        <is>
          <t>Office / facility rent</t>
        </is>
      </c>
      <c r="G37" s="7" t="inlineStr">
        <is>
          <t>Yes</t>
        </is>
      </c>
    </row>
    <row r="38">
      <c r="A38" s="8" t="inlineStr">
        <is>
          <t>6110</t>
        </is>
      </c>
      <c r="B38" s="8" t="inlineStr">
        <is>
          <t>Utilities</t>
        </is>
      </c>
      <c r="C38" s="8" t="inlineStr">
        <is>
          <t>Expense</t>
        </is>
      </c>
      <c r="D38" s="8" t="inlineStr">
        <is>
          <t>Operating Expense</t>
        </is>
      </c>
      <c r="E38" s="8" t="inlineStr">
        <is>
          <t>Debit</t>
        </is>
      </c>
      <c r="F38" s="8" t="inlineStr">
        <is>
          <t>Electric, gas, water, internet</t>
        </is>
      </c>
      <c r="G38" s="8" t="inlineStr">
        <is>
          <t>Yes</t>
        </is>
      </c>
    </row>
    <row r="39">
      <c r="A39" s="7" t="inlineStr">
        <is>
          <t>6120</t>
        </is>
      </c>
      <c r="B39" s="7" t="inlineStr">
        <is>
          <t>Insurance</t>
        </is>
      </c>
      <c r="C39" s="7" t="inlineStr">
        <is>
          <t>Expense</t>
        </is>
      </c>
      <c r="D39" s="7" t="inlineStr">
        <is>
          <t>Operating Expense</t>
        </is>
      </c>
      <c r="E39" s="7" t="inlineStr">
        <is>
          <t>Debit</t>
        </is>
      </c>
      <c r="F39" s="7" t="inlineStr">
        <is>
          <t>Business insurance premiums</t>
        </is>
      </c>
      <c r="G39" s="7" t="inlineStr">
        <is>
          <t>Yes</t>
        </is>
      </c>
    </row>
    <row r="40">
      <c r="A40" s="8" t="inlineStr">
        <is>
          <t>6200</t>
        </is>
      </c>
      <c r="B40" s="8" t="inlineStr">
        <is>
          <t>Advertising &amp; Marketing</t>
        </is>
      </c>
      <c r="C40" s="8" t="inlineStr">
        <is>
          <t>Expense</t>
        </is>
      </c>
      <c r="D40" s="8" t="inlineStr">
        <is>
          <t>Operating Expense</t>
        </is>
      </c>
      <c r="E40" s="8" t="inlineStr">
        <is>
          <t>Debit</t>
        </is>
      </c>
      <c r="F40" s="8" t="inlineStr">
        <is>
          <t>Promotional expenses</t>
        </is>
      </c>
      <c r="G40" s="8" t="inlineStr">
        <is>
          <t>Yes</t>
        </is>
      </c>
    </row>
    <row r="41">
      <c r="A41" s="7" t="inlineStr">
        <is>
          <t>6210</t>
        </is>
      </c>
      <c r="B41" s="7" t="inlineStr">
        <is>
          <t>Software &amp; Subscriptions</t>
        </is>
      </c>
      <c r="C41" s="7" t="inlineStr">
        <is>
          <t>Expense</t>
        </is>
      </c>
      <c r="D41" s="7" t="inlineStr">
        <is>
          <t>Operating Expense</t>
        </is>
      </c>
      <c r="E41" s="7" t="inlineStr">
        <is>
          <t>Debit</t>
        </is>
      </c>
      <c r="F41" s="7" t="inlineStr">
        <is>
          <t>SaaS tools and subscriptions</t>
        </is>
      </c>
      <c r="G41" s="7" t="inlineStr">
        <is>
          <t>Yes</t>
        </is>
      </c>
    </row>
    <row r="42">
      <c r="A42" s="8" t="inlineStr">
        <is>
          <t>6220</t>
        </is>
      </c>
      <c r="B42" s="8" t="inlineStr">
        <is>
          <t>Office Supplies</t>
        </is>
      </c>
      <c r="C42" s="8" t="inlineStr">
        <is>
          <t>Expense</t>
        </is>
      </c>
      <c r="D42" s="8" t="inlineStr">
        <is>
          <t>Operating Expense</t>
        </is>
      </c>
      <c r="E42" s="8" t="inlineStr">
        <is>
          <t>Debit</t>
        </is>
      </c>
      <c r="F42" s="8" t="inlineStr">
        <is>
          <t>Consumable office materials</t>
        </is>
      </c>
      <c r="G42" s="8" t="inlineStr">
        <is>
          <t>Yes</t>
        </is>
      </c>
    </row>
    <row r="43">
      <c r="A43" s="7" t="inlineStr">
        <is>
          <t>6300</t>
        </is>
      </c>
      <c r="B43" s="7" t="inlineStr">
        <is>
          <t>Travel &amp; Entertainment</t>
        </is>
      </c>
      <c r="C43" s="7" t="inlineStr">
        <is>
          <t>Expense</t>
        </is>
      </c>
      <c r="D43" s="7" t="inlineStr">
        <is>
          <t>Operating Expense</t>
        </is>
      </c>
      <c r="E43" s="7" t="inlineStr">
        <is>
          <t>Debit</t>
        </is>
      </c>
      <c r="F43" s="7" t="inlineStr">
        <is>
          <t>Business travel and meals</t>
        </is>
      </c>
      <c r="G43" s="7" t="inlineStr">
        <is>
          <t>Yes</t>
        </is>
      </c>
    </row>
    <row r="44">
      <c r="A44" s="8" t="inlineStr">
        <is>
          <t>6310</t>
        </is>
      </c>
      <c r="B44" s="8" t="inlineStr">
        <is>
          <t>Vehicle Expense</t>
        </is>
      </c>
      <c r="C44" s="8" t="inlineStr">
        <is>
          <t>Expense</t>
        </is>
      </c>
      <c r="D44" s="8" t="inlineStr">
        <is>
          <t>Operating Expense</t>
        </is>
      </c>
      <c r="E44" s="8" t="inlineStr">
        <is>
          <t>Debit</t>
        </is>
      </c>
      <c r="F44" s="8" t="inlineStr">
        <is>
          <t>Gas, maintenance, mileage</t>
        </is>
      </c>
      <c r="G44" s="8" t="inlineStr">
        <is>
          <t>Yes</t>
        </is>
      </c>
    </row>
    <row r="45">
      <c r="A45" s="7" t="inlineStr">
        <is>
          <t>6400</t>
        </is>
      </c>
      <c r="B45" s="7" t="inlineStr">
        <is>
          <t>Professional Fees</t>
        </is>
      </c>
      <c r="C45" s="7" t="inlineStr">
        <is>
          <t>Expense</t>
        </is>
      </c>
      <c r="D45" s="7" t="inlineStr">
        <is>
          <t>Operating Expense</t>
        </is>
      </c>
      <c r="E45" s="7" t="inlineStr">
        <is>
          <t>Debit</t>
        </is>
      </c>
      <c r="F45" s="7" t="inlineStr">
        <is>
          <t>Legal, accounting, consulting</t>
        </is>
      </c>
      <c r="G45" s="7" t="inlineStr">
        <is>
          <t>Yes</t>
        </is>
      </c>
    </row>
    <row r="46">
      <c r="A46" s="8" t="inlineStr">
        <is>
          <t>6500</t>
        </is>
      </c>
      <c r="B46" s="8" t="inlineStr">
        <is>
          <t>Depreciation Expense</t>
        </is>
      </c>
      <c r="C46" s="8" t="inlineStr">
        <is>
          <t>Expense</t>
        </is>
      </c>
      <c r="D46" s="8" t="inlineStr">
        <is>
          <t>Operating Expense</t>
        </is>
      </c>
      <c r="E46" s="8" t="inlineStr">
        <is>
          <t>Debit</t>
        </is>
      </c>
      <c r="F46" s="8" t="inlineStr">
        <is>
          <t>Periodic depreciation charge</t>
        </is>
      </c>
      <c r="G46" s="8" t="inlineStr">
        <is>
          <t>Yes</t>
        </is>
      </c>
    </row>
    <row r="47">
      <c r="A47" s="7" t="inlineStr">
        <is>
          <t>6600</t>
        </is>
      </c>
      <c r="B47" s="7" t="inlineStr">
        <is>
          <t>Bad Debt Expense</t>
        </is>
      </c>
      <c r="C47" s="7" t="inlineStr">
        <is>
          <t>Expense</t>
        </is>
      </c>
      <c r="D47" s="7" t="inlineStr">
        <is>
          <t>Operating Expense</t>
        </is>
      </c>
      <c r="E47" s="7" t="inlineStr">
        <is>
          <t>Debit</t>
        </is>
      </c>
      <c r="F47" s="7" t="inlineStr">
        <is>
          <t>Write-offs of uncollectible receivables</t>
        </is>
      </c>
      <c r="G47" s="7" t="inlineStr">
        <is>
          <t>Yes</t>
        </is>
      </c>
    </row>
    <row r="48">
      <c r="A48" s="8" t="inlineStr">
        <is>
          <t>6700</t>
        </is>
      </c>
      <c r="B48" s="8" t="inlineStr">
        <is>
          <t>Bank Charges</t>
        </is>
      </c>
      <c r="C48" s="8" t="inlineStr">
        <is>
          <t>Expense</t>
        </is>
      </c>
      <c r="D48" s="8" t="inlineStr">
        <is>
          <t>Operating Expense</t>
        </is>
      </c>
      <c r="E48" s="8" t="inlineStr">
        <is>
          <t>Debit</t>
        </is>
      </c>
      <c r="F48" s="8" t="inlineStr">
        <is>
          <t>Bank fees and service charges</t>
        </is>
      </c>
      <c r="G48" s="8" t="inlineStr">
        <is>
          <t>Yes</t>
        </is>
      </c>
    </row>
    <row r="49">
      <c r="A49" s="7" t="inlineStr">
        <is>
          <t>6800</t>
        </is>
      </c>
      <c r="B49" s="7" t="inlineStr">
        <is>
          <t>Interest Expense</t>
        </is>
      </c>
      <c r="C49" s="7" t="inlineStr">
        <is>
          <t>Expense</t>
        </is>
      </c>
      <c r="D49" s="7" t="inlineStr">
        <is>
          <t>Operating Expense</t>
        </is>
      </c>
      <c r="E49" s="7" t="inlineStr">
        <is>
          <t>Debit</t>
        </is>
      </c>
      <c r="F49" s="7" t="inlineStr">
        <is>
          <t>Interest paid on debt</t>
        </is>
      </c>
      <c r="G49" s="7" t="inlineStr">
        <is>
          <t>Yes</t>
        </is>
      </c>
    </row>
    <row r="50">
      <c r="A50" s="8" t="inlineStr">
        <is>
          <t>6900</t>
        </is>
      </c>
      <c r="B50" s="8" t="inlineStr">
        <is>
          <t>Miscellaneous Expense</t>
        </is>
      </c>
      <c r="C50" s="8" t="inlineStr">
        <is>
          <t>Expense</t>
        </is>
      </c>
      <c r="D50" s="8" t="inlineStr">
        <is>
          <t>Operating Expense</t>
        </is>
      </c>
      <c r="E50" s="8" t="inlineStr">
        <is>
          <t>Debit</t>
        </is>
      </c>
      <c r="F50" s="8" t="inlineStr">
        <is>
          <t>Other business expenses</t>
        </is>
      </c>
      <c r="G50" s="8" t="inlineStr">
        <is>
          <t>Yes</t>
        </is>
      </c>
    </row>
    <row r="51">
      <c r="A51" s="7" t="inlineStr">
        <is>
          <t>7000</t>
        </is>
      </c>
      <c r="B51" s="7" t="inlineStr">
        <is>
          <t>Income Tax Expense</t>
        </is>
      </c>
      <c r="C51" s="7" t="inlineStr">
        <is>
          <t>Expense</t>
        </is>
      </c>
      <c r="D51" s="7" t="inlineStr">
        <is>
          <t>Tax Expense</t>
        </is>
      </c>
      <c r="E51" s="7" t="inlineStr">
        <is>
          <t>Debit</t>
        </is>
      </c>
      <c r="F51" s="7" t="inlineStr">
        <is>
          <t>Corporate / business income taxes</t>
        </is>
      </c>
      <c r="G51" s="7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V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25" customWidth="1" min="5" max="5"/>
    <col width="15" customWidth="1" min="6" max="6"/>
    <col width="15" customWidth="1" min="7" max="7"/>
    <col width="8" customWidth="1" min="8" max="8"/>
    <col width="8" customWidth="1" min="9" max="9"/>
    <col width="10" customWidth="1" min="10" max="10"/>
    <col width="16" customWidth="1" min="11" max="11"/>
    <col width="16" customWidth="1" min="12" max="12"/>
    <col width="28" customWidth="1" min="13" max="13"/>
    <col width="22" customWidth="1" min="14" max="14"/>
    <col width="20" customWidth="1" min="15" max="15"/>
    <col width="14" customWidth="1" min="16" max="16"/>
    <col width="20" customWidth="1" min="17" max="17"/>
    <col width="10" customWidth="1" min="18" max="18"/>
    <col width="12" customWidth="1" min="19" max="19"/>
    <col width="14" customWidth="1" min="20" max="20"/>
    <col width="25" customWidth="1" min="21" max="21"/>
    <col width="8" customWidth="1" min="22" max="22"/>
  </cols>
  <sheetData>
    <row r="1" ht="36" customHeight="1">
      <c r="A1" s="9" t="inlineStr">
        <is>
          <t>👥  Customer Master Database</t>
        </is>
      </c>
    </row>
    <row r="2" ht="18" customHeight="1">
      <c r="A2" s="10" t="inlineStr">
        <is>
          <t>All customer records – source of truth for AR</t>
        </is>
      </c>
    </row>
    <row r="3" ht="22" customHeight="1">
      <c r="A3" s="6" t="inlineStr">
        <is>
          <t>Customer ID</t>
        </is>
      </c>
      <c r="B3" s="6" t="inlineStr">
        <is>
          <t>Company Name</t>
        </is>
      </c>
      <c r="C3" s="6" t="inlineStr">
        <is>
          <t>Contact Name</t>
        </is>
      </c>
      <c r="D3" s="6" t="inlineStr">
        <is>
          <t>Title</t>
        </is>
      </c>
      <c r="E3" s="6" t="inlineStr">
        <is>
          <t>Address Line 1</t>
        </is>
      </c>
      <c r="F3" s="6" t="inlineStr">
        <is>
          <t>Address Line 2</t>
        </is>
      </c>
      <c r="G3" s="6" t="inlineStr">
        <is>
          <t>City</t>
        </is>
      </c>
      <c r="H3" s="6" t="inlineStr">
        <is>
          <t>State</t>
        </is>
      </c>
      <c r="I3" s="6" t="inlineStr">
        <is>
          <t>ZIP</t>
        </is>
      </c>
      <c r="J3" s="6" t="inlineStr">
        <is>
          <t>Country</t>
        </is>
      </c>
      <c r="K3" s="6" t="inlineStr">
        <is>
          <t>Phone</t>
        </is>
      </c>
      <c r="L3" s="6" t="inlineStr">
        <is>
          <t>Mobile</t>
        </is>
      </c>
      <c r="M3" s="6" t="inlineStr">
        <is>
          <t>Email</t>
        </is>
      </c>
      <c r="N3" s="6" t="inlineStr">
        <is>
          <t>Website</t>
        </is>
      </c>
      <c r="O3" s="6" t="inlineStr">
        <is>
          <t>Payment Terms (days)</t>
        </is>
      </c>
      <c r="P3" s="6" t="inlineStr">
        <is>
          <t>Credit Limit</t>
        </is>
      </c>
      <c r="Q3" s="6" t="inlineStr">
        <is>
          <t>AR Account</t>
        </is>
      </c>
      <c r="R3" s="6" t="inlineStr">
        <is>
          <t>Currency</t>
        </is>
      </c>
      <c r="S3" s="6" t="inlineStr">
        <is>
          <t>Tax Exempt?</t>
        </is>
      </c>
      <c r="T3" s="6" t="inlineStr">
        <is>
          <t>Tax ID</t>
        </is>
      </c>
      <c r="U3" s="6" t="inlineStr">
        <is>
          <t>Notes</t>
        </is>
      </c>
      <c r="V3" s="6" t="inlineStr">
        <is>
          <t>Active</t>
        </is>
      </c>
    </row>
    <row r="4">
      <c r="A4" s="8" t="inlineStr">
        <is>
          <t>C-1001</t>
        </is>
      </c>
      <c r="B4" s="8" t="inlineStr">
        <is>
          <t>Acme Corporation</t>
        </is>
      </c>
      <c r="C4" s="8" t="inlineStr">
        <is>
          <t>John Smith</t>
        </is>
      </c>
      <c r="D4" s="8" t="inlineStr">
        <is>
          <t>CFO</t>
        </is>
      </c>
      <c r="E4" s="8" t="inlineStr">
        <is>
          <t>100 Industrial Blvd</t>
        </is>
      </c>
      <c r="F4" s="8" t="inlineStr"/>
      <c r="G4" s="8" t="inlineStr">
        <is>
          <t>Springfield</t>
        </is>
      </c>
      <c r="H4" s="8" t="inlineStr">
        <is>
          <t>IL</t>
        </is>
      </c>
      <c r="I4" s="8" t="inlineStr">
        <is>
          <t>62701</t>
        </is>
      </c>
      <c r="J4" s="8" t="inlineStr">
        <is>
          <t>USA</t>
        </is>
      </c>
      <c r="K4" s="8" t="inlineStr">
        <is>
          <t>217-555-0100</t>
        </is>
      </c>
      <c r="L4" s="8" t="inlineStr">
        <is>
          <t>217-555-0101</t>
        </is>
      </c>
      <c r="M4" s="8" t="inlineStr">
        <is>
          <t>jsmith@acme.com</t>
        </is>
      </c>
      <c r="N4" s="8" t="inlineStr">
        <is>
          <t>www.acme.com</t>
        </is>
      </c>
      <c r="O4" s="8" t="n">
        <v>30</v>
      </c>
      <c r="P4" s="8" t="n">
        <v>50000</v>
      </c>
      <c r="Q4" s="8" t="inlineStr">
        <is>
          <t>Accounts Receivable</t>
        </is>
      </c>
      <c r="R4" s="8" t="inlineStr">
        <is>
          <t>USD</t>
        </is>
      </c>
      <c r="S4" s="8" t="inlineStr">
        <is>
          <t>No</t>
        </is>
      </c>
      <c r="T4" s="8" t="inlineStr"/>
      <c r="U4" s="8" t="inlineStr">
        <is>
          <t>Key account</t>
        </is>
      </c>
      <c r="V4" s="8" t="inlineStr">
        <is>
          <t>Yes</t>
        </is>
      </c>
    </row>
    <row r="5">
      <c r="A5" s="7" t="inlineStr">
        <is>
          <t>C-1002</t>
        </is>
      </c>
      <c r="B5" s="7" t="inlineStr">
        <is>
          <t>Globex Ltd</t>
        </is>
      </c>
      <c r="C5" s="7" t="inlineStr">
        <is>
          <t>Jane Doe</t>
        </is>
      </c>
      <c r="D5" s="7" t="inlineStr">
        <is>
          <t>Controller</t>
        </is>
      </c>
      <c r="E5" s="7" t="inlineStr">
        <is>
          <t>200 Commerce St</t>
        </is>
      </c>
      <c r="F5" s="7" t="inlineStr">
        <is>
          <t>Suite 5</t>
        </is>
      </c>
      <c r="G5" s="7" t="inlineStr">
        <is>
          <t>Shelbyville</t>
        </is>
      </c>
      <c r="H5" s="7" t="inlineStr">
        <is>
          <t>IL</t>
        </is>
      </c>
      <c r="I5" s="7" t="inlineStr">
        <is>
          <t>62705</t>
        </is>
      </c>
      <c r="J5" s="7" t="inlineStr">
        <is>
          <t>USA</t>
        </is>
      </c>
      <c r="K5" s="7" t="inlineStr">
        <is>
          <t>217-555-0200</t>
        </is>
      </c>
      <c r="L5" s="7" t="inlineStr"/>
      <c r="M5" s="7" t="inlineStr">
        <is>
          <t>jdoe@globex.com</t>
        </is>
      </c>
      <c r="N5" s="7" t="inlineStr">
        <is>
          <t>www.globex.com</t>
        </is>
      </c>
      <c r="O5" s="7" t="n">
        <v>45</v>
      </c>
      <c r="P5" s="7" t="n">
        <v>25000</v>
      </c>
      <c r="Q5" s="7" t="inlineStr">
        <is>
          <t>Accounts Receivable</t>
        </is>
      </c>
      <c r="R5" s="7" t="inlineStr">
        <is>
          <t>USD</t>
        </is>
      </c>
      <c r="S5" s="7" t="inlineStr">
        <is>
          <t>No</t>
        </is>
      </c>
      <c r="T5" s="7" t="inlineStr"/>
      <c r="U5" s="7" t="inlineStr"/>
      <c r="V5" s="7" t="inlineStr">
        <is>
          <t>Yes</t>
        </is>
      </c>
    </row>
    <row r="6">
      <c r="A6" s="8" t="inlineStr">
        <is>
          <t>C-1003</t>
        </is>
      </c>
      <c r="B6" s="8" t="inlineStr">
        <is>
          <t>Mom &amp; Pop Shop</t>
        </is>
      </c>
      <c r="C6" s="8" t="inlineStr">
        <is>
          <t>Bob Pop</t>
        </is>
      </c>
      <c r="D6" s="8" t="inlineStr">
        <is>
          <t>Owner</t>
        </is>
      </c>
      <c r="E6" s="8" t="inlineStr">
        <is>
          <t>300 Main St</t>
        </is>
      </c>
      <c r="F6" s="8" t="inlineStr"/>
      <c r="G6" s="8" t="inlineStr">
        <is>
          <t>Capital City</t>
        </is>
      </c>
      <c r="H6" s="8" t="inlineStr">
        <is>
          <t>IL</t>
        </is>
      </c>
      <c r="I6" s="8" t="inlineStr">
        <is>
          <t>62703</t>
        </is>
      </c>
      <c r="J6" s="8" t="inlineStr">
        <is>
          <t>USA</t>
        </is>
      </c>
      <c r="K6" s="8" t="inlineStr">
        <is>
          <t>217-555-0300</t>
        </is>
      </c>
      <c r="L6" s="8" t="inlineStr">
        <is>
          <t>217-555-0301</t>
        </is>
      </c>
      <c r="M6" s="8" t="inlineStr">
        <is>
          <t>bob@momandpop.com</t>
        </is>
      </c>
      <c r="N6" s="8" t="inlineStr"/>
      <c r="O6" s="8" t="n">
        <v>15</v>
      </c>
      <c r="P6" s="8" t="n">
        <v>5000</v>
      </c>
      <c r="Q6" s="8" t="inlineStr">
        <is>
          <t>Accounts Receivable</t>
        </is>
      </c>
      <c r="R6" s="8" t="inlineStr">
        <is>
          <t>USD</t>
        </is>
      </c>
      <c r="S6" s="8" t="inlineStr">
        <is>
          <t>No</t>
        </is>
      </c>
      <c r="T6" s="8" t="inlineStr"/>
      <c r="U6" s="8" t="inlineStr">
        <is>
          <t>Cash preferred</t>
        </is>
      </c>
      <c r="V6" s="8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V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25" customWidth="1" min="5" max="5"/>
    <col width="15" customWidth="1" min="6" max="6"/>
    <col width="15" customWidth="1" min="7" max="7"/>
    <col width="8" customWidth="1" min="8" max="8"/>
    <col width="8" customWidth="1" min="9" max="9"/>
    <col width="10" customWidth="1" min="10" max="10"/>
    <col width="16" customWidth="1" min="11" max="11"/>
    <col width="16" customWidth="1" min="12" max="12"/>
    <col width="28" customWidth="1" min="13" max="13"/>
    <col width="22" customWidth="1" min="14" max="14"/>
    <col width="20" customWidth="1" min="15" max="15"/>
    <col width="16" customWidth="1" min="16" max="16"/>
    <col width="20" customWidth="1" min="17" max="17"/>
    <col width="14" customWidth="1" min="18" max="18"/>
    <col width="14" customWidth="1" min="19" max="19"/>
    <col width="22" customWidth="1" min="20" max="20"/>
    <col width="25" customWidth="1" min="21" max="21"/>
    <col width="8" customWidth="1" min="22" max="22"/>
  </cols>
  <sheetData>
    <row r="1" ht="36" customHeight="1">
      <c r="A1" s="9" t="inlineStr">
        <is>
          <t>🏭  Vendor Master Database</t>
        </is>
      </c>
    </row>
    <row r="2" ht="18" customHeight="1">
      <c r="A2" s="10" t="inlineStr">
        <is>
          <t>All vendor records – source of truth for AP</t>
        </is>
      </c>
    </row>
    <row r="3" ht="22" customHeight="1">
      <c r="A3" s="6" t="inlineStr">
        <is>
          <t>Vendor ID</t>
        </is>
      </c>
      <c r="B3" s="6" t="inlineStr">
        <is>
          <t>Company Name</t>
        </is>
      </c>
      <c r="C3" s="6" t="inlineStr">
        <is>
          <t>Contact Name</t>
        </is>
      </c>
      <c r="D3" s="6" t="inlineStr">
        <is>
          <t>Title</t>
        </is>
      </c>
      <c r="E3" s="6" t="inlineStr">
        <is>
          <t>Address Line 1</t>
        </is>
      </c>
      <c r="F3" s="6" t="inlineStr">
        <is>
          <t>Address Line 2</t>
        </is>
      </c>
      <c r="G3" s="6" t="inlineStr">
        <is>
          <t>City</t>
        </is>
      </c>
      <c r="H3" s="6" t="inlineStr">
        <is>
          <t>State</t>
        </is>
      </c>
      <c r="I3" s="6" t="inlineStr">
        <is>
          <t>ZIP</t>
        </is>
      </c>
      <c r="J3" s="6" t="inlineStr">
        <is>
          <t>Country</t>
        </is>
      </c>
      <c r="K3" s="6" t="inlineStr">
        <is>
          <t>Phone</t>
        </is>
      </c>
      <c r="L3" s="6" t="inlineStr">
        <is>
          <t>Mobile</t>
        </is>
      </c>
      <c r="M3" s="6" t="inlineStr">
        <is>
          <t>Email</t>
        </is>
      </c>
      <c r="N3" s="6" t="inlineStr">
        <is>
          <t>Website</t>
        </is>
      </c>
      <c r="O3" s="6" t="inlineStr">
        <is>
          <t>Payment Terms (days)</t>
        </is>
      </c>
      <c r="P3" s="6" t="inlineStr">
        <is>
          <t>Account #</t>
        </is>
      </c>
      <c r="Q3" s="6" t="inlineStr">
        <is>
          <t>AP Account</t>
        </is>
      </c>
      <c r="R3" s="6" t="inlineStr">
        <is>
          <t>1099 Vendor?</t>
        </is>
      </c>
      <c r="S3" s="6" t="inlineStr">
        <is>
          <t>Tax ID</t>
        </is>
      </c>
      <c r="T3" s="6" t="inlineStr">
        <is>
          <t>Default Expense Account</t>
        </is>
      </c>
      <c r="U3" s="6" t="inlineStr">
        <is>
          <t>Notes</t>
        </is>
      </c>
      <c r="V3" s="6" t="inlineStr">
        <is>
          <t>Active</t>
        </is>
      </c>
    </row>
    <row r="4">
      <c r="A4" s="8" t="inlineStr">
        <is>
          <t>V-2001</t>
        </is>
      </c>
      <c r="B4" s="8" t="inlineStr">
        <is>
          <t>Office Depot</t>
        </is>
      </c>
      <c r="C4" s="8" t="inlineStr">
        <is>
          <t>Sarah Lee</t>
        </is>
      </c>
      <c r="D4" s="8" t="inlineStr">
        <is>
          <t>Sales Rep</t>
        </is>
      </c>
      <c r="E4" s="8" t="inlineStr">
        <is>
          <t>10 Supply Lane</t>
        </is>
      </c>
      <c r="F4" s="8" t="inlineStr"/>
      <c r="G4" s="8" t="inlineStr">
        <is>
          <t>Chicago</t>
        </is>
      </c>
      <c r="H4" s="8" t="inlineStr">
        <is>
          <t>IL</t>
        </is>
      </c>
      <c r="I4" s="8" t="inlineStr">
        <is>
          <t>60601</t>
        </is>
      </c>
      <c r="J4" s="8" t="inlineStr">
        <is>
          <t>USA</t>
        </is>
      </c>
      <c r="K4" s="8" t="inlineStr">
        <is>
          <t>312-555-0200</t>
        </is>
      </c>
      <c r="L4" s="8" t="inlineStr"/>
      <c r="M4" s="8" t="inlineStr">
        <is>
          <t>slee@officedepot.com</t>
        </is>
      </c>
      <c r="N4" s="8" t="inlineStr">
        <is>
          <t>www.officedepot.com</t>
        </is>
      </c>
      <c r="O4" s="8" t="n">
        <v>30</v>
      </c>
      <c r="P4" s="8" t="inlineStr">
        <is>
          <t>CUST-9876</t>
        </is>
      </c>
      <c r="Q4" s="8" t="inlineStr">
        <is>
          <t>Accounts Payable</t>
        </is>
      </c>
      <c r="R4" s="8" t="inlineStr">
        <is>
          <t>No</t>
        </is>
      </c>
      <c r="S4" s="8" t="inlineStr"/>
      <c r="T4" s="8" t="inlineStr">
        <is>
          <t>Office Supplies</t>
        </is>
      </c>
      <c r="U4" s="8" t="inlineStr"/>
      <c r="V4" s="8" t="inlineStr">
        <is>
          <t>Yes</t>
        </is>
      </c>
    </row>
    <row r="5">
      <c r="A5" s="7" t="inlineStr">
        <is>
          <t>V-2002</t>
        </is>
      </c>
      <c r="B5" s="7" t="inlineStr">
        <is>
          <t>ABC Telecom</t>
        </is>
      </c>
      <c r="C5" s="7" t="inlineStr">
        <is>
          <t>Mike Ring</t>
        </is>
      </c>
      <c r="D5" s="7" t="inlineStr">
        <is>
          <t>Account Mgr</t>
        </is>
      </c>
      <c r="E5" s="7" t="inlineStr">
        <is>
          <t>50 Fiber Rd</t>
        </is>
      </c>
      <c r="F5" s="7" t="inlineStr"/>
      <c r="G5" s="7" t="inlineStr">
        <is>
          <t>Chicago</t>
        </is>
      </c>
      <c r="H5" s="7" t="inlineStr">
        <is>
          <t>IL</t>
        </is>
      </c>
      <c r="I5" s="7" t="inlineStr">
        <is>
          <t>60602</t>
        </is>
      </c>
      <c r="J5" s="7" t="inlineStr">
        <is>
          <t>USA</t>
        </is>
      </c>
      <c r="K5" s="7" t="inlineStr">
        <is>
          <t>312-555-0300</t>
        </is>
      </c>
      <c r="L5" s="7" t="inlineStr">
        <is>
          <t>312-555-0301</t>
        </is>
      </c>
      <c r="M5" s="7" t="inlineStr">
        <is>
          <t>mring@abctel.com</t>
        </is>
      </c>
      <c r="N5" s="7" t="inlineStr">
        <is>
          <t>www.abctel.com</t>
        </is>
      </c>
      <c r="O5" s="7" t="n">
        <v>30</v>
      </c>
      <c r="P5" s="7" t="inlineStr">
        <is>
          <t>ACC-1234</t>
        </is>
      </c>
      <c r="Q5" s="7" t="inlineStr">
        <is>
          <t>Accounts Payable</t>
        </is>
      </c>
      <c r="R5" s="7" t="inlineStr">
        <is>
          <t>No</t>
        </is>
      </c>
      <c r="S5" s="7" t="inlineStr"/>
      <c r="T5" s="7" t="inlineStr">
        <is>
          <t>Utilities</t>
        </is>
      </c>
      <c r="U5" s="7" t="inlineStr">
        <is>
          <t>Monthly invoice</t>
        </is>
      </c>
      <c r="V5" s="7" t="inlineStr">
        <is>
          <t>Yes</t>
        </is>
      </c>
    </row>
    <row r="6">
      <c r="A6" s="8" t="inlineStr">
        <is>
          <t>V-2003</t>
        </is>
      </c>
      <c r="B6" s="8" t="inlineStr">
        <is>
          <t>Smith Consulting LLC</t>
        </is>
      </c>
      <c r="C6" s="8" t="inlineStr">
        <is>
          <t>Alex Smith</t>
        </is>
      </c>
      <c r="D6" s="8" t="inlineStr">
        <is>
          <t>Principal</t>
        </is>
      </c>
      <c r="E6" s="8" t="inlineStr">
        <is>
          <t>75 Consultant Dr</t>
        </is>
      </c>
      <c r="F6" s="8" t="inlineStr">
        <is>
          <t>Suite 10</t>
        </is>
      </c>
      <c r="G6" s="8" t="inlineStr">
        <is>
          <t>Springfield</t>
        </is>
      </c>
      <c r="H6" s="8" t="inlineStr">
        <is>
          <t>IL</t>
        </is>
      </c>
      <c r="I6" s="8" t="inlineStr">
        <is>
          <t>62701</t>
        </is>
      </c>
      <c r="J6" s="8" t="inlineStr">
        <is>
          <t>USA</t>
        </is>
      </c>
      <c r="K6" s="8" t="inlineStr">
        <is>
          <t>217-555-0400</t>
        </is>
      </c>
      <c r="L6" s="8" t="inlineStr"/>
      <c r="M6" s="8" t="inlineStr">
        <is>
          <t>asmith@smithco.com</t>
        </is>
      </c>
      <c r="N6" s="8" t="inlineStr">
        <is>
          <t>www.smithco.com</t>
        </is>
      </c>
      <c r="O6" s="8" t="n">
        <v>15</v>
      </c>
      <c r="P6" s="8" t="inlineStr"/>
      <c r="Q6" s="8" t="inlineStr">
        <is>
          <t>Accounts Payable</t>
        </is>
      </c>
      <c r="R6" s="8" t="inlineStr">
        <is>
          <t>Yes</t>
        </is>
      </c>
      <c r="S6" s="8" t="inlineStr">
        <is>
          <t>35-1234567</t>
        </is>
      </c>
      <c r="T6" s="8" t="inlineStr">
        <is>
          <t>Professional Fees</t>
        </is>
      </c>
      <c r="U6" s="8" t="inlineStr">
        <is>
          <t>1099 contractor</t>
        </is>
      </c>
      <c r="V6" s="8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E8449"/>
    <outlinePr summaryBelow="1" summaryRight="1"/>
    <pageSetUpPr/>
  </sheetPr>
  <dimension ref="A1:Q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2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6" customWidth="1" min="11" max="11"/>
    <col width="14" customWidth="1" min="12" max="12"/>
    <col width="10" customWidth="1" min="13" max="13"/>
    <col width="20" customWidth="1" min="14" max="14"/>
    <col width="20" customWidth="1" min="15" max="15"/>
    <col width="16" customWidth="1" min="16" max="16"/>
    <col width="20" customWidth="1" min="17" max="17"/>
  </cols>
  <sheetData>
    <row r="1" ht="36" customHeight="1">
      <c r="A1" s="9" t="inlineStr">
        <is>
          <t>🧾  Invoices – Accounts Receivable Register</t>
        </is>
      </c>
    </row>
    <row r="2" ht="18" customHeight="1">
      <c r="A2" s="10" t="inlineStr">
        <is>
          <t>Track all customer invoices and their payment status</t>
        </is>
      </c>
    </row>
    <row r="3" ht="22" customHeight="1">
      <c r="A3" s="6" t="inlineStr">
        <is>
          <t>Invoice #</t>
        </is>
      </c>
      <c r="B3" s="6" t="inlineStr">
        <is>
          <t>Invoice Date</t>
        </is>
      </c>
      <c r="C3" s="6" t="inlineStr">
        <is>
          <t>Due Date</t>
        </is>
      </c>
      <c r="D3" s="6" t="inlineStr">
        <is>
          <t>Customer ID</t>
        </is>
      </c>
      <c r="E3" s="6" t="inlineStr">
        <is>
          <t>Customer Name</t>
        </is>
      </c>
      <c r="F3" s="6" t="inlineStr">
        <is>
          <t>PO Number</t>
        </is>
      </c>
      <c r="G3" s="6" t="inlineStr">
        <is>
          <t>Subtotal</t>
        </is>
      </c>
      <c r="H3" s="6" t="inlineStr">
        <is>
          <t>Tax Rate</t>
        </is>
      </c>
      <c r="I3" s="6" t="inlineStr">
        <is>
          <t>Tax Amount</t>
        </is>
      </c>
      <c r="J3" s="6" t="inlineStr">
        <is>
          <t>Total</t>
        </is>
      </c>
      <c r="K3" s="6" t="inlineStr">
        <is>
          <t>Payments Applied</t>
        </is>
      </c>
      <c r="L3" s="6" t="inlineStr">
        <is>
          <t>Balance Due</t>
        </is>
      </c>
      <c r="M3" s="6" t="inlineStr">
        <is>
          <t>Status</t>
        </is>
      </c>
      <c r="N3" s="6" t="inlineStr">
        <is>
          <t>AR Account</t>
        </is>
      </c>
      <c r="O3" s="6" t="inlineStr">
        <is>
          <t>Revenue Account</t>
        </is>
      </c>
      <c r="P3" s="6" t="inlineStr">
        <is>
          <t>Accounting Basis</t>
        </is>
      </c>
      <c r="Q3" s="6" t="inlineStr">
        <is>
          <t>Notes</t>
        </is>
      </c>
    </row>
    <row r="4">
      <c r="A4" s="8" t="n">
        <v>1001</v>
      </c>
      <c r="B4" s="15" t="n">
        <v>46066</v>
      </c>
      <c r="C4" s="15" t="n">
        <v>46096</v>
      </c>
      <c r="D4" s="8" t="inlineStr">
        <is>
          <t>C-1001</t>
        </is>
      </c>
      <c r="E4" s="8" t="inlineStr">
        <is>
          <t>Acme Corporation</t>
        </is>
      </c>
      <c r="F4" s="8" t="inlineStr">
        <is>
          <t>PO-500</t>
        </is>
      </c>
      <c r="G4" s="16" t="n">
        <v>5000</v>
      </c>
      <c r="H4" s="17" t="n">
        <v>0.0725</v>
      </c>
      <c r="I4" s="16" t="n">
        <v>362.5</v>
      </c>
      <c r="J4" s="16" t="n">
        <v>5362.5</v>
      </c>
      <c r="K4" s="16" t="n">
        <v>5362.5</v>
      </c>
      <c r="L4" s="16" t="n">
        <v>0</v>
      </c>
      <c r="M4" s="18" t="inlineStr">
        <is>
          <t>Paid</t>
        </is>
      </c>
      <c r="N4" s="8" t="inlineStr">
        <is>
          <t>Accounts Receivable</t>
        </is>
      </c>
      <c r="O4" s="8" t="inlineStr">
        <is>
          <t>Sales Revenue</t>
        </is>
      </c>
      <c r="P4" s="8" t="inlineStr">
        <is>
          <t>Accrual</t>
        </is>
      </c>
      <c r="Q4" s="8" t="inlineStr"/>
    </row>
    <row r="5">
      <c r="A5" s="7" t="n">
        <v>1002</v>
      </c>
      <c r="B5" s="19" t="n">
        <v>46081</v>
      </c>
      <c r="C5" s="19" t="n">
        <v>46111</v>
      </c>
      <c r="D5" s="7" t="inlineStr">
        <is>
          <t>C-1002</t>
        </is>
      </c>
      <c r="E5" s="7" t="inlineStr">
        <is>
          <t>Globex Ltd</t>
        </is>
      </c>
      <c r="F5" s="7" t="inlineStr"/>
      <c r="G5" s="20" t="n">
        <v>2500</v>
      </c>
      <c r="H5" s="21" t="n">
        <v>0.0725</v>
      </c>
      <c r="I5" s="20" t="n">
        <v>181.25</v>
      </c>
      <c r="J5" s="20" t="n">
        <v>2681.25</v>
      </c>
      <c r="K5" s="20" t="n">
        <v>0</v>
      </c>
      <c r="L5" s="20" t="n">
        <v>2681.25</v>
      </c>
      <c r="M5" s="22" t="inlineStr">
        <is>
          <t>Open</t>
        </is>
      </c>
      <c r="N5" s="7" t="inlineStr">
        <is>
          <t>Accounts Receivable</t>
        </is>
      </c>
      <c r="O5" s="7" t="inlineStr">
        <is>
          <t>Service Revenue</t>
        </is>
      </c>
      <c r="P5" s="7" t="inlineStr">
        <is>
          <t>Accrual</t>
        </is>
      </c>
      <c r="Q5" s="7" t="inlineStr"/>
    </row>
    <row r="6">
      <c r="A6" s="8" t="n">
        <v>1003</v>
      </c>
      <c r="B6" s="15" t="n">
        <v>46101</v>
      </c>
      <c r="C6" s="15" t="n">
        <v>46131</v>
      </c>
      <c r="D6" s="8" t="inlineStr">
        <is>
          <t>C-1001</t>
        </is>
      </c>
      <c r="E6" s="8" t="inlineStr">
        <is>
          <t>Acme Corporation</t>
        </is>
      </c>
      <c r="F6" s="8" t="inlineStr">
        <is>
          <t>PO-501</t>
        </is>
      </c>
      <c r="G6" s="16" t="n">
        <v>7500</v>
      </c>
      <c r="H6" s="17" t="n">
        <v>0.0725</v>
      </c>
      <c r="I6" s="16" t="n">
        <v>543.75</v>
      </c>
      <c r="J6" s="16" t="n">
        <v>8043.75</v>
      </c>
      <c r="K6" s="16" t="n">
        <v>0</v>
      </c>
      <c r="L6" s="16" t="n">
        <v>8043.75</v>
      </c>
      <c r="M6" s="22" t="inlineStr">
        <is>
          <t>Open</t>
        </is>
      </c>
      <c r="N6" s="8" t="inlineStr">
        <is>
          <t>Accounts Receivable</t>
        </is>
      </c>
      <c r="O6" s="8" t="inlineStr">
        <is>
          <t>Sales Revenue</t>
        </is>
      </c>
      <c r="P6" s="8" t="inlineStr">
        <is>
          <t>Accrual</t>
        </is>
      </c>
      <c r="Q6" s="8" t="inlineStr">
        <is>
          <t>Rush order</t>
        </is>
      </c>
    </row>
    <row r="7">
      <c r="A7" s="7" t="n">
        <v>1004</v>
      </c>
      <c r="B7" s="19" t="n">
        <v>46051</v>
      </c>
      <c r="C7" s="19" t="n">
        <v>46081</v>
      </c>
      <c r="D7" s="7" t="inlineStr">
        <is>
          <t>C-1003</t>
        </is>
      </c>
      <c r="E7" s="7" t="inlineStr">
        <is>
          <t>Mom &amp; Pop Shop</t>
        </is>
      </c>
      <c r="F7" s="7" t="inlineStr"/>
      <c r="G7" s="20" t="n">
        <v>800</v>
      </c>
      <c r="H7" s="21" t="n">
        <v>0</v>
      </c>
      <c r="I7" s="20" t="n">
        <v>0</v>
      </c>
      <c r="J7" s="20" t="n">
        <v>800</v>
      </c>
      <c r="K7" s="20" t="n">
        <v>0</v>
      </c>
      <c r="L7" s="20" t="n">
        <v>800</v>
      </c>
      <c r="M7" s="23" t="inlineStr">
        <is>
          <t>Overdue</t>
        </is>
      </c>
      <c r="N7" s="7" t="inlineStr">
        <is>
          <t>Accounts Receivable</t>
        </is>
      </c>
      <c r="O7" s="7" t="inlineStr">
        <is>
          <t>Sales Revenue</t>
        </is>
      </c>
      <c r="P7" s="7" t="inlineStr">
        <is>
          <t>Cash</t>
        </is>
      </c>
      <c r="Q7" s="7" t="inlineStr">
        <is>
          <t>Tax exempt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10" customWidth="1" min="5" max="5"/>
    <col width="12" customWidth="1" min="6" max="6"/>
    <col width="14" customWidth="1" min="7" max="7"/>
    <col width="20" customWidth="1" min="8" max="8"/>
    <col width="22" customWidth="1" min="9" max="9"/>
  </cols>
  <sheetData>
    <row r="1" ht="36" customHeight="1">
      <c r="A1" s="9" t="inlineStr">
        <is>
          <t>📋  Invoice Line Items</t>
        </is>
      </c>
    </row>
    <row r="2" ht="18" customHeight="1">
      <c r="A2" s="10" t="inlineStr">
        <is>
          <t>Detailed line-item breakdown for each invoice</t>
        </is>
      </c>
    </row>
    <row r="3" ht="22" customHeight="1">
      <c r="A3" s="6" t="inlineStr">
        <is>
          <t>Invoice #</t>
        </is>
      </c>
      <c r="B3" s="6" t="inlineStr">
        <is>
          <t>Line #</t>
        </is>
      </c>
      <c r="C3" s="6" t="inlineStr">
        <is>
          <t>Item Code</t>
        </is>
      </c>
      <c r="D3" s="6" t="inlineStr">
        <is>
          <t>Description</t>
        </is>
      </c>
      <c r="E3" s="6" t="inlineStr">
        <is>
          <t>Quantity</t>
        </is>
      </c>
      <c r="F3" s="6" t="inlineStr">
        <is>
          <t>Unit Price</t>
        </is>
      </c>
      <c r="G3" s="6" t="inlineStr">
        <is>
          <t>Line Total</t>
        </is>
      </c>
      <c r="H3" s="6" t="inlineStr">
        <is>
          <t>Revenue Account</t>
        </is>
      </c>
      <c r="I3" s="6" t="inlineStr">
        <is>
          <t>COGS Account</t>
        </is>
      </c>
    </row>
    <row r="4">
      <c r="A4" s="8" t="n">
        <v>1001</v>
      </c>
      <c r="B4" s="8" t="n">
        <v>1</v>
      </c>
      <c r="C4" s="8" t="inlineStr">
        <is>
          <t>PROD-A</t>
        </is>
      </c>
      <c r="D4" s="8" t="inlineStr">
        <is>
          <t>Widget Pro (100 units)</t>
        </is>
      </c>
      <c r="E4" s="8" t="n">
        <v>100</v>
      </c>
      <c r="F4" s="16" t="n">
        <v>40</v>
      </c>
      <c r="G4" s="16" t="n">
        <v>4000</v>
      </c>
      <c r="H4" s="8" t="inlineStr">
        <is>
          <t>Sales Revenue</t>
        </is>
      </c>
      <c r="I4" s="8" t="inlineStr">
        <is>
          <t>Cost of Goods Sold</t>
        </is>
      </c>
    </row>
    <row r="5">
      <c r="A5" s="7" t="n">
        <v>1001</v>
      </c>
      <c r="B5" s="7" t="n">
        <v>2</v>
      </c>
      <c r="C5" s="7" t="inlineStr">
        <is>
          <t>SVC-01</t>
        </is>
      </c>
      <c r="D5" s="7" t="inlineStr">
        <is>
          <t>Installation Services</t>
        </is>
      </c>
      <c r="E5" s="7" t="n">
        <v>5</v>
      </c>
      <c r="F5" s="20" t="n">
        <v>200</v>
      </c>
      <c r="G5" s="20" t="n">
        <v>1000</v>
      </c>
      <c r="H5" s="7" t="inlineStr">
        <is>
          <t>Service Revenue</t>
        </is>
      </c>
      <c r="I5" s="7" t="inlineStr"/>
    </row>
    <row r="6">
      <c r="A6" s="8" t="n">
        <v>1002</v>
      </c>
      <c r="B6" s="8" t="n">
        <v>1</v>
      </c>
      <c r="C6" s="8" t="inlineStr">
        <is>
          <t>SVC-02</t>
        </is>
      </c>
      <c r="D6" s="8" t="inlineStr">
        <is>
          <t>Monthly Support (5 hrs)</t>
        </is>
      </c>
      <c r="E6" s="8" t="n">
        <v>5</v>
      </c>
      <c r="F6" s="16" t="n">
        <v>500</v>
      </c>
      <c r="G6" s="16" t="n">
        <v>2500</v>
      </c>
      <c r="H6" s="8" t="inlineStr">
        <is>
          <t>Service Revenue</t>
        </is>
      </c>
      <c r="I6" s="8" t="inlineStr"/>
    </row>
    <row r="7">
      <c r="A7" s="7" t="n">
        <v>1003</v>
      </c>
      <c r="B7" s="7" t="n">
        <v>1</v>
      </c>
      <c r="C7" s="7" t="inlineStr">
        <is>
          <t>PROD-A</t>
        </is>
      </c>
      <c r="D7" s="7" t="inlineStr">
        <is>
          <t>Widget Pro (150 units)</t>
        </is>
      </c>
      <c r="E7" s="7" t="n">
        <v>150</v>
      </c>
      <c r="F7" s="20" t="n">
        <v>40</v>
      </c>
      <c r="G7" s="20" t="n">
        <v>6000</v>
      </c>
      <c r="H7" s="7" t="inlineStr">
        <is>
          <t>Sales Revenue</t>
        </is>
      </c>
      <c r="I7" s="7" t="inlineStr">
        <is>
          <t>Cost of Goods Sold</t>
        </is>
      </c>
    </row>
    <row r="8">
      <c r="A8" s="8" t="n">
        <v>1003</v>
      </c>
      <c r="B8" s="8" t="n">
        <v>2</v>
      </c>
      <c r="C8" s="8" t="inlineStr">
        <is>
          <t>PROD-B</t>
        </is>
      </c>
      <c r="D8" s="8" t="inlineStr">
        <is>
          <t>Widget Lite (30 units)</t>
        </is>
      </c>
      <c r="E8" s="8" t="n">
        <v>30</v>
      </c>
      <c r="F8" s="16" t="n">
        <v>50</v>
      </c>
      <c r="G8" s="16" t="n">
        <v>1500</v>
      </c>
      <c r="H8" s="8" t="inlineStr">
        <is>
          <t>Sales Revenue</t>
        </is>
      </c>
      <c r="I8" s="8" t="inlineStr">
        <is>
          <t>Cost of Goods Sold</t>
        </is>
      </c>
    </row>
    <row r="9">
      <c r="A9" s="7" t="n">
        <v>1004</v>
      </c>
      <c r="B9" s="7" t="n">
        <v>1</v>
      </c>
      <c r="C9" s="7" t="inlineStr">
        <is>
          <t>PROD-C</t>
        </is>
      </c>
      <c r="D9" s="7" t="inlineStr">
        <is>
          <t>Basic Widget (40 units)</t>
        </is>
      </c>
      <c r="E9" s="7" t="n">
        <v>40</v>
      </c>
      <c r="F9" s="20" t="n">
        <v>20</v>
      </c>
      <c r="G9" s="20" t="n">
        <v>800</v>
      </c>
      <c r="H9" s="7" t="inlineStr">
        <is>
          <t>Sales Revenue</t>
        </is>
      </c>
      <c r="I9" s="7" t="inlineStr">
        <is>
          <t>Cost of Goods Sold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BC34A"/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22" customWidth="1" min="5" max="5"/>
    <col width="14" customWidth="1" min="6" max="6"/>
    <col width="18" customWidth="1" min="7" max="7"/>
    <col width="20" customWidth="1" min="8" max="8"/>
    <col width="18" customWidth="1" min="9" max="9"/>
    <col width="25" customWidth="1" min="10" max="10"/>
  </cols>
  <sheetData>
    <row r="1" ht="36" customHeight="1">
      <c r="A1" s="9" t="inlineStr">
        <is>
          <t>💰  AR Payments – Cash Receipts Journal</t>
        </is>
      </c>
    </row>
    <row r="2" ht="18" customHeight="1">
      <c r="A2" s="10" t="inlineStr">
        <is>
          <t>All payments received from customers against invoices</t>
        </is>
      </c>
    </row>
    <row r="3" ht="22" customHeight="1">
      <c r="A3" s="6" t="inlineStr">
        <is>
          <t>Payment #</t>
        </is>
      </c>
      <c r="B3" s="6" t="inlineStr">
        <is>
          <t>Payment Date</t>
        </is>
      </c>
      <c r="C3" s="6" t="inlineStr">
        <is>
          <t>Invoice #</t>
        </is>
      </c>
      <c r="D3" s="6" t="inlineStr">
        <is>
          <t>Customer ID</t>
        </is>
      </c>
      <c r="E3" s="6" t="inlineStr">
        <is>
          <t>Customer Name</t>
        </is>
      </c>
      <c r="F3" s="6" t="inlineStr">
        <is>
          <t>Amount</t>
        </is>
      </c>
      <c r="G3" s="6" t="inlineStr">
        <is>
          <t>Payment Method</t>
        </is>
      </c>
      <c r="H3" s="6" t="inlineStr">
        <is>
          <t>Reference / Check #</t>
        </is>
      </c>
      <c r="I3" s="6" t="inlineStr">
        <is>
          <t>Deposit Account</t>
        </is>
      </c>
      <c r="J3" s="6" t="inlineStr">
        <is>
          <t>Notes</t>
        </is>
      </c>
    </row>
    <row r="4">
      <c r="A4" s="8" t="inlineStr">
        <is>
          <t>PMT-AR-001</t>
        </is>
      </c>
      <c r="B4" s="15" t="n">
        <v>46091</v>
      </c>
      <c r="C4" s="8" t="n">
        <v>1001</v>
      </c>
      <c r="D4" s="8" t="inlineStr">
        <is>
          <t>C-1001</t>
        </is>
      </c>
      <c r="E4" s="8" t="inlineStr">
        <is>
          <t>Acme Corporation</t>
        </is>
      </c>
      <c r="F4" s="16" t="n">
        <v>5362.5</v>
      </c>
      <c r="G4" s="8" t="inlineStr">
        <is>
          <t>ACH</t>
        </is>
      </c>
      <c r="H4" s="8" t="inlineStr">
        <is>
          <t>ACH-20240310</t>
        </is>
      </c>
      <c r="I4" s="8" t="inlineStr">
        <is>
          <t>Cash – Checking</t>
        </is>
      </c>
      <c r="J4" s="8" t="inlineStr">
        <is>
          <t>Full payment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A1:Q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22" customWidth="1" min="6" max="6"/>
    <col width="30" customWidth="1" min="7" max="7"/>
    <col width="14" customWidth="1" min="8" max="8"/>
    <col width="12" customWidth="1" min="9" max="9"/>
    <col width="14" customWidth="1" min="10" max="10"/>
    <col width="16" customWidth="1" min="11" max="11"/>
    <col width="14" customWidth="1" min="12" max="12"/>
    <col width="10" customWidth="1" min="13" max="13"/>
    <col width="20" customWidth="1" min="14" max="14"/>
    <col width="22" customWidth="1" min="15" max="15"/>
    <col width="16" customWidth="1" min="16" max="16"/>
    <col width="20" customWidth="1" min="17" max="17"/>
  </cols>
  <sheetData>
    <row r="1" ht="36" customHeight="1">
      <c r="A1" s="9" t="inlineStr">
        <is>
          <t>📄  Bills – Accounts Payable Register</t>
        </is>
      </c>
    </row>
    <row r="2" ht="18" customHeight="1">
      <c r="A2" s="10" t="inlineStr">
        <is>
          <t>Track all vendor bills and their payment status</t>
        </is>
      </c>
    </row>
    <row r="3" ht="22" customHeight="1">
      <c r="A3" s="6" t="inlineStr">
        <is>
          <t>Bill #</t>
        </is>
      </c>
      <c r="B3" s="6" t="inlineStr">
        <is>
          <t>Vendor Bill #</t>
        </is>
      </c>
      <c r="C3" s="6" t="inlineStr">
        <is>
          <t>Bill Date</t>
        </is>
      </c>
      <c r="D3" s="6" t="inlineStr">
        <is>
          <t>Due Date</t>
        </is>
      </c>
      <c r="E3" s="6" t="inlineStr">
        <is>
          <t>Vendor ID</t>
        </is>
      </c>
      <c r="F3" s="6" t="inlineStr">
        <is>
          <t>Vendor Name</t>
        </is>
      </c>
      <c r="G3" s="6" t="inlineStr">
        <is>
          <t>Description</t>
        </is>
      </c>
      <c r="H3" s="6" t="inlineStr">
        <is>
          <t>Subtotal</t>
        </is>
      </c>
      <c r="I3" s="6" t="inlineStr">
        <is>
          <t>Tax Amount</t>
        </is>
      </c>
      <c r="J3" s="6" t="inlineStr">
        <is>
          <t>Total</t>
        </is>
      </c>
      <c r="K3" s="6" t="inlineStr">
        <is>
          <t>Payments Applied</t>
        </is>
      </c>
      <c r="L3" s="6" t="inlineStr">
        <is>
          <t>Balance Due</t>
        </is>
      </c>
      <c r="M3" s="6" t="inlineStr">
        <is>
          <t>Status</t>
        </is>
      </c>
      <c r="N3" s="6" t="inlineStr">
        <is>
          <t>AP Account</t>
        </is>
      </c>
      <c r="O3" s="6" t="inlineStr">
        <is>
          <t>Expense Account</t>
        </is>
      </c>
      <c r="P3" s="6" t="inlineStr">
        <is>
          <t>Accounting Basis</t>
        </is>
      </c>
      <c r="Q3" s="6" t="inlineStr">
        <is>
          <t>Notes</t>
        </is>
      </c>
    </row>
    <row r="4">
      <c r="A4" s="8" t="n">
        <v>2001</v>
      </c>
      <c r="B4" s="8" t="inlineStr">
        <is>
          <t>INV-7711</t>
        </is>
      </c>
      <c r="C4" s="15" t="n">
        <v>46081</v>
      </c>
      <c r="D4" s="15" t="n">
        <v>46111</v>
      </c>
      <c r="E4" s="8" t="inlineStr">
        <is>
          <t>V-2001</t>
        </is>
      </c>
      <c r="F4" s="8" t="inlineStr">
        <is>
          <t>Office Depot</t>
        </is>
      </c>
      <c r="G4" s="8" t="inlineStr">
        <is>
          <t>Office supplies Q1</t>
        </is>
      </c>
      <c r="H4" s="16" t="n">
        <v>450</v>
      </c>
      <c r="I4" s="16" t="n">
        <v>0</v>
      </c>
      <c r="J4" s="16" t="n">
        <v>450</v>
      </c>
      <c r="K4" s="16" t="n">
        <v>450</v>
      </c>
      <c r="L4" s="16" t="n">
        <v>0</v>
      </c>
      <c r="M4" s="18" t="inlineStr">
        <is>
          <t>Paid</t>
        </is>
      </c>
      <c r="N4" s="8" t="inlineStr">
        <is>
          <t>Accounts Payable</t>
        </is>
      </c>
      <c r="O4" s="8" t="inlineStr">
        <is>
          <t>Office Supplies</t>
        </is>
      </c>
      <c r="P4" s="8" t="inlineStr">
        <is>
          <t>Accrual</t>
        </is>
      </c>
      <c r="Q4" s="8" t="inlineStr"/>
    </row>
    <row r="5">
      <c r="A5" s="7" t="n">
        <v>2002</v>
      </c>
      <c r="B5" s="7" t="inlineStr">
        <is>
          <t>INV-8899</t>
        </is>
      </c>
      <c r="C5" s="19" t="n">
        <v>46096</v>
      </c>
      <c r="D5" s="19" t="n">
        <v>46126</v>
      </c>
      <c r="E5" s="7" t="inlineStr">
        <is>
          <t>V-2002</t>
        </is>
      </c>
      <c r="F5" s="7" t="inlineStr">
        <is>
          <t>ABC Telecom</t>
        </is>
      </c>
      <c r="G5" s="7" t="inlineStr">
        <is>
          <t>Internet &amp; phone – March</t>
        </is>
      </c>
      <c r="H5" s="20" t="n">
        <v>250</v>
      </c>
      <c r="I5" s="20" t="n">
        <v>0</v>
      </c>
      <c r="J5" s="20" t="n">
        <v>250</v>
      </c>
      <c r="K5" s="20" t="n">
        <v>0</v>
      </c>
      <c r="L5" s="20" t="n">
        <v>250</v>
      </c>
      <c r="M5" s="22" t="inlineStr">
        <is>
          <t>Open</t>
        </is>
      </c>
      <c r="N5" s="7" t="inlineStr">
        <is>
          <t>Accounts Payable</t>
        </is>
      </c>
      <c r="O5" s="7" t="inlineStr">
        <is>
          <t>Utilities</t>
        </is>
      </c>
      <c r="P5" s="7" t="inlineStr">
        <is>
          <t>Accrual</t>
        </is>
      </c>
      <c r="Q5" s="7" t="inlineStr"/>
    </row>
    <row r="6">
      <c r="A6" s="8" t="n">
        <v>2003</v>
      </c>
      <c r="B6" s="8" t="inlineStr">
        <is>
          <t>INV-5500</t>
        </is>
      </c>
      <c r="C6" s="15" t="n">
        <v>46066</v>
      </c>
      <c r="D6" s="15" t="n">
        <v>46096</v>
      </c>
      <c r="E6" s="8" t="inlineStr">
        <is>
          <t>V-2003</t>
        </is>
      </c>
      <c r="F6" s="8" t="inlineStr">
        <is>
          <t>Smith Consulting LLC</t>
        </is>
      </c>
      <c r="G6" s="8" t="inlineStr">
        <is>
          <t>Strategy consulting Feb</t>
        </is>
      </c>
      <c r="H6" s="16" t="n">
        <v>3000</v>
      </c>
      <c r="I6" s="16" t="n">
        <v>0</v>
      </c>
      <c r="J6" s="16" t="n">
        <v>3000</v>
      </c>
      <c r="K6" s="16" t="n">
        <v>0</v>
      </c>
      <c r="L6" s="16" t="n">
        <v>3000</v>
      </c>
      <c r="M6" s="23" t="inlineStr">
        <is>
          <t>Overdue</t>
        </is>
      </c>
      <c r="N6" s="8" t="inlineStr">
        <is>
          <t>Accounts Payable</t>
        </is>
      </c>
      <c r="O6" s="8" t="inlineStr">
        <is>
          <t>Professional Fees</t>
        </is>
      </c>
      <c r="P6" s="8" t="inlineStr">
        <is>
          <t>Accrual</t>
        </is>
      </c>
      <c r="Q6" s="8" t="inlineStr">
        <is>
          <t>1099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44336"/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22" customWidth="1" min="5" max="5"/>
    <col width="14" customWidth="1" min="6" max="6"/>
    <col width="18" customWidth="1" min="7" max="7"/>
    <col width="20" customWidth="1" min="8" max="8"/>
    <col width="18" customWidth="1" min="9" max="9"/>
    <col width="25" customWidth="1" min="10" max="10"/>
  </cols>
  <sheetData>
    <row r="1" ht="36" customHeight="1">
      <c r="A1" s="9" t="inlineStr">
        <is>
          <t>💳  AP Payments – Cash Disbursements Journal</t>
        </is>
      </c>
    </row>
    <row r="2" ht="18" customHeight="1">
      <c r="A2" s="10" t="inlineStr">
        <is>
          <t>All payments made to vendors against bills</t>
        </is>
      </c>
    </row>
    <row r="3" ht="22" customHeight="1">
      <c r="A3" s="6" t="inlineStr">
        <is>
          <t>Payment #</t>
        </is>
      </c>
      <c r="B3" s="6" t="inlineStr">
        <is>
          <t>Payment Date</t>
        </is>
      </c>
      <c r="C3" s="6" t="inlineStr">
        <is>
          <t>Bill #</t>
        </is>
      </c>
      <c r="D3" s="6" t="inlineStr">
        <is>
          <t>Vendor ID</t>
        </is>
      </c>
      <c r="E3" s="6" t="inlineStr">
        <is>
          <t>Vendor Name</t>
        </is>
      </c>
      <c r="F3" s="6" t="inlineStr">
        <is>
          <t>Amount</t>
        </is>
      </c>
      <c r="G3" s="6" t="inlineStr">
        <is>
          <t>Payment Method</t>
        </is>
      </c>
      <c r="H3" s="6" t="inlineStr">
        <is>
          <t>Check # / Reference</t>
        </is>
      </c>
      <c r="I3" s="6" t="inlineStr">
        <is>
          <t>Payment Account</t>
        </is>
      </c>
      <c r="J3" s="6" t="inlineStr">
        <is>
          <t>Notes</t>
        </is>
      </c>
    </row>
    <row r="4">
      <c r="A4" s="8" t="inlineStr">
        <is>
          <t>PMT-AP-001</t>
        </is>
      </c>
      <c r="B4" s="15" t="n">
        <v>46086</v>
      </c>
      <c r="C4" s="8" t="n">
        <v>2001</v>
      </c>
      <c r="D4" s="8" t="inlineStr">
        <is>
          <t>V-2001</t>
        </is>
      </c>
      <c r="E4" s="8" t="inlineStr">
        <is>
          <t>Office Depot</t>
        </is>
      </c>
      <c r="F4" s="16" t="n">
        <v>450</v>
      </c>
      <c r="G4" s="8" t="inlineStr">
        <is>
          <t>Check</t>
        </is>
      </c>
      <c r="H4" s="8" t="inlineStr">
        <is>
          <t>CHK-1001</t>
        </is>
      </c>
      <c r="I4" s="8" t="inlineStr">
        <is>
          <t>Cash – Checking</t>
        </is>
      </c>
      <c r="J4" s="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C27B0"/>
    <outlinePr summaryBelow="1" summaryRight="1"/>
    <pageSetUpPr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6" customWidth="1" min="4" max="4"/>
    <col width="38" customWidth="1" min="5" max="5"/>
    <col width="12" customWidth="1" min="6" max="6"/>
    <col width="25" customWidth="1" min="7" max="7"/>
    <col width="14" customWidth="1" min="8" max="8"/>
    <col width="14" customWidth="1" min="9" max="9"/>
    <col width="25" customWidth="1" min="10" max="10"/>
    <col width="15" customWidth="1" min="11" max="11"/>
  </cols>
  <sheetData>
    <row r="1" ht="36" customHeight="1">
      <c r="A1" s="9" t="inlineStr">
        <is>
          <t>📓  General Ledger – Journal Entries</t>
        </is>
      </c>
    </row>
    <row r="2" ht="18" customHeight="1">
      <c r="A2" s="10" t="inlineStr">
        <is>
          <t>Double-entry bookkeeping journal; every debit must equal its credit</t>
        </is>
      </c>
    </row>
    <row r="3" ht="22" customHeight="1">
      <c r="A3" s="6" t="inlineStr">
        <is>
          <t>Entry #</t>
        </is>
      </c>
      <c r="B3" s="6" t="inlineStr">
        <is>
          <t>Date</t>
        </is>
      </c>
      <c r="C3" s="6" t="inlineStr">
        <is>
          <t>Period</t>
        </is>
      </c>
      <c r="D3" s="6" t="inlineStr">
        <is>
          <t>Reference</t>
        </is>
      </c>
      <c r="E3" s="6" t="inlineStr">
        <is>
          <t>Description</t>
        </is>
      </c>
      <c r="F3" s="6" t="inlineStr">
        <is>
          <t>Account #</t>
        </is>
      </c>
      <c r="G3" s="6" t="inlineStr">
        <is>
          <t>Account Name</t>
        </is>
      </c>
      <c r="H3" s="6" t="inlineStr">
        <is>
          <t>Debit</t>
        </is>
      </c>
      <c r="I3" s="6" t="inlineStr">
        <is>
          <t>Credit</t>
        </is>
      </c>
      <c r="J3" s="6" t="inlineStr">
        <is>
          <t>Memo</t>
        </is>
      </c>
      <c r="K3" s="6" t="inlineStr">
        <is>
          <t>Entered By</t>
        </is>
      </c>
    </row>
    <row r="4">
      <c r="A4" s="8" t="inlineStr">
        <is>
          <t>JE-001</t>
        </is>
      </c>
      <c r="B4" s="15" t="n">
        <v>46066</v>
      </c>
      <c r="C4" s="8" t="inlineStr">
        <is>
          <t>Mar</t>
        </is>
      </c>
      <c r="D4" s="8" t="inlineStr">
        <is>
          <t>INV-1001</t>
        </is>
      </c>
      <c r="E4" s="8" t="inlineStr">
        <is>
          <t>Invoice 1001 – Acme Corp revenue</t>
        </is>
      </c>
      <c r="F4" s="8" t="inlineStr">
        <is>
          <t>1100</t>
        </is>
      </c>
      <c r="G4" s="8" t="inlineStr">
        <is>
          <t>Accounts Receivable</t>
        </is>
      </c>
      <c r="H4" s="16" t="n">
        <v>5362.5</v>
      </c>
      <c r="I4" s="16" t="n">
        <v>0</v>
      </c>
      <c r="J4" s="8" t="inlineStr">
        <is>
          <t>AR accrual</t>
        </is>
      </c>
      <c r="K4" s="8" t="inlineStr">
        <is>
          <t>System</t>
        </is>
      </c>
    </row>
    <row r="5">
      <c r="A5" s="7" t="inlineStr">
        <is>
          <t>JE-001</t>
        </is>
      </c>
      <c r="B5" s="19" t="n">
        <v>46066</v>
      </c>
      <c r="C5" s="7" t="inlineStr">
        <is>
          <t>Mar</t>
        </is>
      </c>
      <c r="D5" s="7" t="inlineStr">
        <is>
          <t>INV-1001</t>
        </is>
      </c>
      <c r="E5" s="7" t="inlineStr">
        <is>
          <t>Invoice 1001 – Acme Corp revenue</t>
        </is>
      </c>
      <c r="F5" s="7" t="inlineStr">
        <is>
          <t>4000</t>
        </is>
      </c>
      <c r="G5" s="7" t="inlineStr">
        <is>
          <t>Sales Revenue</t>
        </is>
      </c>
      <c r="H5" s="20" t="n">
        <v>0</v>
      </c>
      <c r="I5" s="20" t="n">
        <v>4000</v>
      </c>
      <c r="J5" s="7" t="inlineStr">
        <is>
          <t>Widget Pro 100 units</t>
        </is>
      </c>
      <c r="K5" s="7" t="inlineStr">
        <is>
          <t>System</t>
        </is>
      </c>
    </row>
    <row r="6">
      <c r="A6" s="8" t="inlineStr">
        <is>
          <t>JE-001</t>
        </is>
      </c>
      <c r="B6" s="15" t="n">
        <v>46066</v>
      </c>
      <c r="C6" s="8" t="inlineStr">
        <is>
          <t>Mar</t>
        </is>
      </c>
      <c r="D6" s="8" t="inlineStr">
        <is>
          <t>INV-1001</t>
        </is>
      </c>
      <c r="E6" s="8" t="inlineStr">
        <is>
          <t>Invoice 1001 – Acme Corp revenue</t>
        </is>
      </c>
      <c r="F6" s="8" t="inlineStr">
        <is>
          <t>4100</t>
        </is>
      </c>
      <c r="G6" s="8" t="inlineStr">
        <is>
          <t>Service Revenue</t>
        </is>
      </c>
      <c r="H6" s="16" t="n">
        <v>0</v>
      </c>
      <c r="I6" s="16" t="n">
        <v>1000</v>
      </c>
      <c r="J6" s="8" t="inlineStr">
        <is>
          <t>Installation Services</t>
        </is>
      </c>
      <c r="K6" s="8" t="inlineStr">
        <is>
          <t>System</t>
        </is>
      </c>
    </row>
    <row r="7">
      <c r="A7" s="7" t="inlineStr">
        <is>
          <t>JE-001</t>
        </is>
      </c>
      <c r="B7" s="19" t="n">
        <v>46066</v>
      </c>
      <c r="C7" s="7" t="inlineStr">
        <is>
          <t>Mar</t>
        </is>
      </c>
      <c r="D7" s="7" t="inlineStr">
        <is>
          <t>INV-1001</t>
        </is>
      </c>
      <c r="E7" s="7" t="inlineStr">
        <is>
          <t>Invoice 1001 – Acme Corp revenue</t>
        </is>
      </c>
      <c r="F7" s="7" t="inlineStr">
        <is>
          <t>2110</t>
        </is>
      </c>
      <c r="G7" s="7" t="inlineStr">
        <is>
          <t>Sales Tax Payable</t>
        </is>
      </c>
      <c r="H7" s="20" t="n">
        <v>0</v>
      </c>
      <c r="I7" s="20" t="n">
        <v>362.5</v>
      </c>
      <c r="J7" s="7" t="inlineStr">
        <is>
          <t>Sales tax</t>
        </is>
      </c>
      <c r="K7" s="7" t="inlineStr">
        <is>
          <t>System</t>
        </is>
      </c>
    </row>
    <row r="8">
      <c r="A8" s="8" t="inlineStr">
        <is>
          <t>JE-002</t>
        </is>
      </c>
      <c r="B8" s="15" t="n">
        <v>46091</v>
      </c>
      <c r="C8" s="8" t="inlineStr">
        <is>
          <t>Mar</t>
        </is>
      </c>
      <c r="D8" s="8" t="inlineStr">
        <is>
          <t>PMT-AR-001</t>
        </is>
      </c>
      <c r="E8" s="8" t="inlineStr">
        <is>
          <t>AR Payment – Acme Corp</t>
        </is>
      </c>
      <c r="F8" s="8" t="inlineStr">
        <is>
          <t>1000</t>
        </is>
      </c>
      <c r="G8" s="8" t="inlineStr">
        <is>
          <t>Cash – Checking</t>
        </is>
      </c>
      <c r="H8" s="16" t="n">
        <v>5362.5</v>
      </c>
      <c r="I8" s="16" t="n">
        <v>0</v>
      </c>
      <c r="J8" s="8" t="inlineStr">
        <is>
          <t>ACH receipt</t>
        </is>
      </c>
      <c r="K8" s="8" t="inlineStr">
        <is>
          <t>System</t>
        </is>
      </c>
    </row>
    <row r="9">
      <c r="A9" s="7" t="inlineStr">
        <is>
          <t>JE-002</t>
        </is>
      </c>
      <c r="B9" s="19" t="n">
        <v>46091</v>
      </c>
      <c r="C9" s="7" t="inlineStr">
        <is>
          <t>Mar</t>
        </is>
      </c>
      <c r="D9" s="7" t="inlineStr">
        <is>
          <t>PMT-AR-001</t>
        </is>
      </c>
      <c r="E9" s="7" t="inlineStr">
        <is>
          <t>AR Payment – Acme Corp</t>
        </is>
      </c>
      <c r="F9" s="7" t="inlineStr">
        <is>
          <t>1100</t>
        </is>
      </c>
      <c r="G9" s="7" t="inlineStr">
        <is>
          <t>Accounts Receivable</t>
        </is>
      </c>
      <c r="H9" s="20" t="n">
        <v>0</v>
      </c>
      <c r="I9" s="20" t="n">
        <v>5362.5</v>
      </c>
      <c r="J9" s="7" t="inlineStr"/>
      <c r="K9" s="7" t="inlineStr">
        <is>
          <t>System</t>
        </is>
      </c>
    </row>
    <row r="10">
      <c r="A10" s="8" t="inlineStr">
        <is>
          <t>JE-003</t>
        </is>
      </c>
      <c r="B10" s="15" t="n">
        <v>46081</v>
      </c>
      <c r="C10" s="8" t="inlineStr">
        <is>
          <t>Mar</t>
        </is>
      </c>
      <c r="D10" s="8" t="inlineStr">
        <is>
          <t>INV-1002</t>
        </is>
      </c>
      <c r="E10" s="8" t="inlineStr">
        <is>
          <t>Invoice 1002 – Globex Ltd</t>
        </is>
      </c>
      <c r="F10" s="8" t="inlineStr">
        <is>
          <t>1100</t>
        </is>
      </c>
      <c r="G10" s="8" t="inlineStr">
        <is>
          <t>Accounts Receivable</t>
        </is>
      </c>
      <c r="H10" s="16" t="n">
        <v>2681.25</v>
      </c>
      <c r="I10" s="16" t="n">
        <v>0</v>
      </c>
      <c r="J10" s="8" t="inlineStr"/>
      <c r="K10" s="8" t="inlineStr">
        <is>
          <t>System</t>
        </is>
      </c>
    </row>
    <row r="11">
      <c r="A11" s="7" t="inlineStr">
        <is>
          <t>JE-003</t>
        </is>
      </c>
      <c r="B11" s="19" t="n">
        <v>46081</v>
      </c>
      <c r="C11" s="7" t="inlineStr">
        <is>
          <t>Mar</t>
        </is>
      </c>
      <c r="D11" s="7" t="inlineStr">
        <is>
          <t>INV-1002</t>
        </is>
      </c>
      <c r="E11" s="7" t="inlineStr">
        <is>
          <t>Invoice 1002 – Globex Ltd</t>
        </is>
      </c>
      <c r="F11" s="7" t="inlineStr">
        <is>
          <t>4100</t>
        </is>
      </c>
      <c r="G11" s="7" t="inlineStr">
        <is>
          <t>Service Revenue</t>
        </is>
      </c>
      <c r="H11" s="20" t="n">
        <v>0</v>
      </c>
      <c r="I11" s="20" t="n">
        <v>2500</v>
      </c>
      <c r="J11" s="7" t="inlineStr"/>
      <c r="K11" s="7" t="inlineStr">
        <is>
          <t>System</t>
        </is>
      </c>
    </row>
    <row r="12">
      <c r="A12" s="8" t="inlineStr">
        <is>
          <t>JE-003</t>
        </is>
      </c>
      <c r="B12" s="15" t="n">
        <v>46081</v>
      </c>
      <c r="C12" s="8" t="inlineStr">
        <is>
          <t>Mar</t>
        </is>
      </c>
      <c r="D12" s="8" t="inlineStr">
        <is>
          <t>INV-1002</t>
        </is>
      </c>
      <c r="E12" s="8" t="inlineStr">
        <is>
          <t>Invoice 1002 – Globex Ltd</t>
        </is>
      </c>
      <c r="F12" s="8" t="inlineStr">
        <is>
          <t>2110</t>
        </is>
      </c>
      <c r="G12" s="8" t="inlineStr">
        <is>
          <t>Sales Tax Payable</t>
        </is>
      </c>
      <c r="H12" s="16" t="n">
        <v>0</v>
      </c>
      <c r="I12" s="16" t="n">
        <v>181.25</v>
      </c>
      <c r="J12" s="8" t="inlineStr"/>
      <c r="K12" s="8" t="inlineStr">
        <is>
          <t>System</t>
        </is>
      </c>
    </row>
    <row r="13">
      <c r="A13" s="7" t="inlineStr">
        <is>
          <t>JE-004</t>
        </is>
      </c>
      <c r="B13" s="19" t="n">
        <v>46081</v>
      </c>
      <c r="C13" s="7" t="inlineStr">
        <is>
          <t>Mar</t>
        </is>
      </c>
      <c r="D13" s="7" t="inlineStr">
        <is>
          <t>BILL-2001</t>
        </is>
      </c>
      <c r="E13" s="7" t="inlineStr">
        <is>
          <t>Bill 2001 – Office Depot supplies</t>
        </is>
      </c>
      <c r="F13" s="7" t="inlineStr">
        <is>
          <t>6220</t>
        </is>
      </c>
      <c r="G13" s="7" t="inlineStr">
        <is>
          <t>Office Supplies</t>
        </is>
      </c>
      <c r="H13" s="20" t="n">
        <v>450</v>
      </c>
      <c r="I13" s="20" t="n">
        <v>0</v>
      </c>
      <c r="J13" s="7" t="inlineStr"/>
      <c r="K13" s="7" t="inlineStr">
        <is>
          <t>System</t>
        </is>
      </c>
    </row>
    <row r="14">
      <c r="A14" s="8" t="inlineStr">
        <is>
          <t>JE-004</t>
        </is>
      </c>
      <c r="B14" s="15" t="n">
        <v>46081</v>
      </c>
      <c r="C14" s="8" t="inlineStr">
        <is>
          <t>Mar</t>
        </is>
      </c>
      <c r="D14" s="8" t="inlineStr">
        <is>
          <t>BILL-2001</t>
        </is>
      </c>
      <c r="E14" s="8" t="inlineStr">
        <is>
          <t>Bill 2001 – Office Depot supplies</t>
        </is>
      </c>
      <c r="F14" s="8" t="inlineStr">
        <is>
          <t>2000</t>
        </is>
      </c>
      <c r="G14" s="8" t="inlineStr">
        <is>
          <t>Accounts Payable</t>
        </is>
      </c>
      <c r="H14" s="16" t="n">
        <v>0</v>
      </c>
      <c r="I14" s="16" t="n">
        <v>450</v>
      </c>
      <c r="J14" s="8" t="inlineStr"/>
      <c r="K14" s="8" t="inlineStr">
        <is>
          <t>System</t>
        </is>
      </c>
    </row>
    <row r="15">
      <c r="A15" s="7" t="inlineStr">
        <is>
          <t>JE-005</t>
        </is>
      </c>
      <c r="B15" s="19" t="n">
        <v>46086</v>
      </c>
      <c r="C15" s="7" t="inlineStr">
        <is>
          <t>Mar</t>
        </is>
      </c>
      <c r="D15" s="7" t="inlineStr">
        <is>
          <t>PMT-AP-001</t>
        </is>
      </c>
      <c r="E15" s="7" t="inlineStr">
        <is>
          <t>AP Payment – Office Depot</t>
        </is>
      </c>
      <c r="F15" s="7" t="inlineStr">
        <is>
          <t>2000</t>
        </is>
      </c>
      <c r="G15" s="7" t="inlineStr">
        <is>
          <t>Accounts Payable</t>
        </is>
      </c>
      <c r="H15" s="20" t="n">
        <v>450</v>
      </c>
      <c r="I15" s="20" t="n">
        <v>0</v>
      </c>
      <c r="J15" s="7" t="inlineStr">
        <is>
          <t>Chk 1001</t>
        </is>
      </c>
      <c r="K15" s="7" t="inlineStr">
        <is>
          <t>System</t>
        </is>
      </c>
    </row>
    <row r="16">
      <c r="A16" s="8" t="inlineStr">
        <is>
          <t>JE-005</t>
        </is>
      </c>
      <c r="B16" s="15" t="n">
        <v>46086</v>
      </c>
      <c r="C16" s="8" t="inlineStr">
        <is>
          <t>Mar</t>
        </is>
      </c>
      <c r="D16" s="8" t="inlineStr">
        <is>
          <t>PMT-AP-001</t>
        </is>
      </c>
      <c r="E16" s="8" t="inlineStr">
        <is>
          <t>AP Payment – Office Depot</t>
        </is>
      </c>
      <c r="F16" s="8" t="inlineStr">
        <is>
          <t>1000</t>
        </is>
      </c>
      <c r="G16" s="8" t="inlineStr">
        <is>
          <t>Cash – Checking</t>
        </is>
      </c>
      <c r="H16" s="16" t="n">
        <v>0</v>
      </c>
      <c r="I16" s="16" t="n">
        <v>450</v>
      </c>
      <c r="J16" s="8" t="inlineStr"/>
      <c r="K16" s="8" t="inlineStr">
        <is>
          <t>System</t>
        </is>
      </c>
    </row>
    <row r="18">
      <c r="A18" s="24" t="inlineStr">
        <is>
          <t>TOTALS</t>
        </is>
      </c>
      <c r="H18" s="25">
        <f>SUM(H4:H16)</f>
        <v/>
      </c>
      <c r="I18" s="25">
        <f>SUM(I4:I16)</f>
        <v/>
      </c>
    </row>
    <row r="19">
      <c r="A19" s="26" t="inlineStr">
        <is>
          <t>BALANCE CHECK (should be 0)</t>
        </is>
      </c>
      <c r="H19" s="27">
        <f>H18-I18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D4AC0D"/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9" t="inlineStr">
        <is>
          <t>⚖️  Trial Balance</t>
        </is>
      </c>
    </row>
    <row r="2" ht="18" customHeight="1">
      <c r="A2" s="10" t="inlineStr">
        <is>
          <t>Aggregated debit and credit totals by account from Journal Entries</t>
        </is>
      </c>
    </row>
    <row r="3">
      <c r="A3" s="28" t="inlineStr">
        <is>
          <t>This sheet pulls totals from Journal_Entries using SUMIF. Totals should balance (Total Debits = Total Credits).</t>
        </is>
      </c>
    </row>
    <row r="4" ht="22" customHeight="1">
      <c r="A4" s="6" t="inlineStr">
        <is>
          <t>Account #</t>
        </is>
      </c>
      <c r="B4" s="6" t="inlineStr">
        <is>
          <t>Account Name</t>
        </is>
      </c>
      <c r="C4" s="6" t="inlineStr">
        <is>
          <t>Type</t>
        </is>
      </c>
      <c r="D4" s="6" t="inlineStr">
        <is>
          <t>Total Debits</t>
        </is>
      </c>
      <c r="E4" s="6" t="inlineStr">
        <is>
          <t>Total Credits</t>
        </is>
      </c>
      <c r="F4" s="6" t="inlineStr">
        <is>
          <t>Net Balance</t>
        </is>
      </c>
    </row>
    <row r="5">
      <c r="A5" s="7" t="inlineStr">
        <is>
          <t>1000</t>
        </is>
      </c>
      <c r="B5" s="7" t="inlineStr">
        <is>
          <t>Cash – Checking</t>
        </is>
      </c>
      <c r="C5" s="7" t="inlineStr">
        <is>
          <t>Asset</t>
        </is>
      </c>
      <c r="D5" s="20">
        <f>SUMIF(Journal_Entries[Account #],"1000",Journal_Entries[Debit])</f>
        <v/>
      </c>
      <c r="E5" s="20">
        <f>SUMIF(Journal_Entries[Account #],"1000",Journal_Entries[Credit])</f>
        <v/>
      </c>
      <c r="F5" s="20">
        <f>D5-E5</f>
        <v/>
      </c>
    </row>
    <row r="6">
      <c r="A6" s="8" t="inlineStr">
        <is>
          <t>1010</t>
        </is>
      </c>
      <c r="B6" s="8" t="inlineStr">
        <is>
          <t>Cash – Savings</t>
        </is>
      </c>
      <c r="C6" s="8" t="inlineStr">
        <is>
          <t>Asset</t>
        </is>
      </c>
      <c r="D6" s="16">
        <f>SUMIF(Journal_Entries[Account #],"1010",Journal_Entries[Debit])</f>
        <v/>
      </c>
      <c r="E6" s="16">
        <f>SUMIF(Journal_Entries[Account #],"1010",Journal_Entries[Credit])</f>
        <v/>
      </c>
      <c r="F6" s="16">
        <f>D6-E6</f>
        <v/>
      </c>
    </row>
    <row r="7">
      <c r="A7" s="7" t="inlineStr">
        <is>
          <t>1020</t>
        </is>
      </c>
      <c r="B7" s="7" t="inlineStr">
        <is>
          <t>Petty Cash</t>
        </is>
      </c>
      <c r="C7" s="7" t="inlineStr">
        <is>
          <t>Asset</t>
        </is>
      </c>
      <c r="D7" s="20">
        <f>SUMIF(Journal_Entries[Account #],"1020",Journal_Entries[Debit])</f>
        <v/>
      </c>
      <c r="E7" s="20">
        <f>SUMIF(Journal_Entries[Account #],"1020",Journal_Entries[Credit])</f>
        <v/>
      </c>
      <c r="F7" s="20">
        <f>D7-E7</f>
        <v/>
      </c>
    </row>
    <row r="8">
      <c r="A8" s="8" t="inlineStr">
        <is>
          <t>1100</t>
        </is>
      </c>
      <c r="B8" s="8" t="inlineStr">
        <is>
          <t>Accounts Receivable</t>
        </is>
      </c>
      <c r="C8" s="8" t="inlineStr">
        <is>
          <t>Asset</t>
        </is>
      </c>
      <c r="D8" s="16">
        <f>SUMIF(Journal_Entries[Account #],"1100",Journal_Entries[Debit])</f>
        <v/>
      </c>
      <c r="E8" s="16">
        <f>SUMIF(Journal_Entries[Account #],"1100",Journal_Entries[Credit])</f>
        <v/>
      </c>
      <c r="F8" s="16">
        <f>D8-E8</f>
        <v/>
      </c>
    </row>
    <row r="9">
      <c r="A9" s="7" t="inlineStr">
        <is>
          <t>1110</t>
        </is>
      </c>
      <c r="B9" s="7" t="inlineStr">
        <is>
          <t>Allowance for Doubtful Accts</t>
        </is>
      </c>
      <c r="C9" s="7" t="inlineStr">
        <is>
          <t>Asset</t>
        </is>
      </c>
      <c r="D9" s="20">
        <f>SUMIF(Journal_Entries[Account #],"1110",Journal_Entries[Debit])</f>
        <v/>
      </c>
      <c r="E9" s="20">
        <f>SUMIF(Journal_Entries[Account #],"1110",Journal_Entries[Credit])</f>
        <v/>
      </c>
      <c r="F9" s="20">
        <f>D9-E9</f>
        <v/>
      </c>
    </row>
    <row r="10">
      <c r="A10" s="8" t="inlineStr">
        <is>
          <t>1200</t>
        </is>
      </c>
      <c r="B10" s="8" t="inlineStr">
        <is>
          <t>Inventory</t>
        </is>
      </c>
      <c r="C10" s="8" t="inlineStr">
        <is>
          <t>Asset</t>
        </is>
      </c>
      <c r="D10" s="16">
        <f>SUMIF(Journal_Entries[Account #],"1200",Journal_Entries[Debit])</f>
        <v/>
      </c>
      <c r="E10" s="16">
        <f>SUMIF(Journal_Entries[Account #],"1200",Journal_Entries[Credit])</f>
        <v/>
      </c>
      <c r="F10" s="16">
        <f>D10-E10</f>
        <v/>
      </c>
    </row>
    <row r="11">
      <c r="A11" s="7" t="inlineStr">
        <is>
          <t>1210</t>
        </is>
      </c>
      <c r="B11" s="7" t="inlineStr">
        <is>
          <t>Prepaid Expenses</t>
        </is>
      </c>
      <c r="C11" s="7" t="inlineStr">
        <is>
          <t>Asset</t>
        </is>
      </c>
      <c r="D11" s="20">
        <f>SUMIF(Journal_Entries[Account #],"1210",Journal_Entries[Debit])</f>
        <v/>
      </c>
      <c r="E11" s="20">
        <f>SUMIF(Journal_Entries[Account #],"1210",Journal_Entries[Credit])</f>
        <v/>
      </c>
      <c r="F11" s="20">
        <f>D11-E11</f>
        <v/>
      </c>
    </row>
    <row r="12">
      <c r="A12" s="8" t="inlineStr">
        <is>
          <t>1500</t>
        </is>
      </c>
      <c r="B12" s="8" t="inlineStr">
        <is>
          <t>Equipment</t>
        </is>
      </c>
      <c r="C12" s="8" t="inlineStr">
        <is>
          <t>Asset</t>
        </is>
      </c>
      <c r="D12" s="16">
        <f>SUMIF(Journal_Entries[Account #],"1500",Journal_Entries[Debit])</f>
        <v/>
      </c>
      <c r="E12" s="16">
        <f>SUMIF(Journal_Entries[Account #],"1500",Journal_Entries[Credit])</f>
        <v/>
      </c>
      <c r="F12" s="16">
        <f>D12-E12</f>
        <v/>
      </c>
    </row>
    <row r="13">
      <c r="A13" s="7" t="inlineStr">
        <is>
          <t>1510</t>
        </is>
      </c>
      <c r="B13" s="7" t="inlineStr">
        <is>
          <t>Accumulated Depreciation</t>
        </is>
      </c>
      <c r="C13" s="7" t="inlineStr">
        <is>
          <t>Asset</t>
        </is>
      </c>
      <c r="D13" s="20">
        <f>SUMIF(Journal_Entries[Account #],"1510",Journal_Entries[Debit])</f>
        <v/>
      </c>
      <c r="E13" s="20">
        <f>SUMIF(Journal_Entries[Account #],"1510",Journal_Entries[Credit])</f>
        <v/>
      </c>
      <c r="F13" s="20">
        <f>D13-E13</f>
        <v/>
      </c>
    </row>
    <row r="14">
      <c r="A14" s="8" t="inlineStr">
        <is>
          <t>1600</t>
        </is>
      </c>
      <c r="B14" s="8" t="inlineStr">
        <is>
          <t>Furniture &amp; Fixtures</t>
        </is>
      </c>
      <c r="C14" s="8" t="inlineStr">
        <is>
          <t>Asset</t>
        </is>
      </c>
      <c r="D14" s="16">
        <f>SUMIF(Journal_Entries[Account #],"1600",Journal_Entries[Debit])</f>
        <v/>
      </c>
      <c r="E14" s="16">
        <f>SUMIF(Journal_Entries[Account #],"1600",Journal_Entries[Credit])</f>
        <v/>
      </c>
      <c r="F14" s="16">
        <f>D14-E14</f>
        <v/>
      </c>
    </row>
    <row r="15">
      <c r="A15" s="7" t="inlineStr">
        <is>
          <t>1700</t>
        </is>
      </c>
      <c r="B15" s="7" t="inlineStr">
        <is>
          <t>Vehicles</t>
        </is>
      </c>
      <c r="C15" s="7" t="inlineStr">
        <is>
          <t>Asset</t>
        </is>
      </c>
      <c r="D15" s="20">
        <f>SUMIF(Journal_Entries[Account #],"1700",Journal_Entries[Debit])</f>
        <v/>
      </c>
      <c r="E15" s="20">
        <f>SUMIF(Journal_Entries[Account #],"1700",Journal_Entries[Credit])</f>
        <v/>
      </c>
      <c r="F15" s="20">
        <f>D15-E15</f>
        <v/>
      </c>
    </row>
    <row r="16">
      <c r="A16" s="8" t="inlineStr">
        <is>
          <t>1800</t>
        </is>
      </c>
      <c r="B16" s="8" t="inlineStr">
        <is>
          <t>Leasehold Improvements</t>
        </is>
      </c>
      <c r="C16" s="8" t="inlineStr">
        <is>
          <t>Asset</t>
        </is>
      </c>
      <c r="D16" s="16">
        <f>SUMIF(Journal_Entries[Account #],"1800",Journal_Entries[Debit])</f>
        <v/>
      </c>
      <c r="E16" s="16">
        <f>SUMIF(Journal_Entries[Account #],"1800",Journal_Entries[Credit])</f>
        <v/>
      </c>
      <c r="F16" s="16">
        <f>D16-E16</f>
        <v/>
      </c>
    </row>
    <row r="17">
      <c r="A17" s="7" t="inlineStr">
        <is>
          <t>1900</t>
        </is>
      </c>
      <c r="B17" s="7" t="inlineStr">
        <is>
          <t>Other Assets</t>
        </is>
      </c>
      <c r="C17" s="7" t="inlineStr">
        <is>
          <t>Asset</t>
        </is>
      </c>
      <c r="D17" s="20">
        <f>SUMIF(Journal_Entries[Account #],"1900",Journal_Entries[Debit])</f>
        <v/>
      </c>
      <c r="E17" s="20">
        <f>SUMIF(Journal_Entries[Account #],"1900",Journal_Entries[Credit])</f>
        <v/>
      </c>
      <c r="F17" s="20">
        <f>D17-E17</f>
        <v/>
      </c>
    </row>
    <row r="18">
      <c r="A18" s="8" t="inlineStr">
        <is>
          <t>2000</t>
        </is>
      </c>
      <c r="B18" s="8" t="inlineStr">
        <is>
          <t>Accounts Payable</t>
        </is>
      </c>
      <c r="C18" s="8" t="inlineStr">
        <is>
          <t>Liability</t>
        </is>
      </c>
      <c r="D18" s="16">
        <f>SUMIF(Journal_Entries[Account #],"2000",Journal_Entries[Debit])</f>
        <v/>
      </c>
      <c r="E18" s="16">
        <f>SUMIF(Journal_Entries[Account #],"2000",Journal_Entries[Credit])</f>
        <v/>
      </c>
      <c r="F18" s="16">
        <f>D18-E18</f>
        <v/>
      </c>
    </row>
    <row r="19">
      <c r="A19" s="7" t="inlineStr">
        <is>
          <t>2100</t>
        </is>
      </c>
      <c r="B19" s="7" t="inlineStr">
        <is>
          <t>Accrued Liabilities</t>
        </is>
      </c>
      <c r="C19" s="7" t="inlineStr">
        <is>
          <t>Liability</t>
        </is>
      </c>
      <c r="D19" s="20">
        <f>SUMIF(Journal_Entries[Account #],"2100",Journal_Entries[Debit])</f>
        <v/>
      </c>
      <c r="E19" s="20">
        <f>SUMIF(Journal_Entries[Account #],"2100",Journal_Entries[Credit])</f>
        <v/>
      </c>
      <c r="F19" s="20">
        <f>D19-E19</f>
        <v/>
      </c>
    </row>
    <row r="20">
      <c r="A20" s="8" t="inlineStr">
        <is>
          <t>2110</t>
        </is>
      </c>
      <c r="B20" s="8" t="inlineStr">
        <is>
          <t>Sales Tax Payable</t>
        </is>
      </c>
      <c r="C20" s="8" t="inlineStr">
        <is>
          <t>Liability</t>
        </is>
      </c>
      <c r="D20" s="16">
        <f>SUMIF(Journal_Entries[Account #],"2110",Journal_Entries[Debit])</f>
        <v/>
      </c>
      <c r="E20" s="16">
        <f>SUMIF(Journal_Entries[Account #],"2110",Journal_Entries[Credit])</f>
        <v/>
      </c>
      <c r="F20" s="16">
        <f>D20-E20</f>
        <v/>
      </c>
    </row>
    <row r="21">
      <c r="A21" s="7" t="inlineStr">
        <is>
          <t>2120</t>
        </is>
      </c>
      <c r="B21" s="7" t="inlineStr">
        <is>
          <t>Payroll Tax Payable</t>
        </is>
      </c>
      <c r="C21" s="7" t="inlineStr">
        <is>
          <t>Liability</t>
        </is>
      </c>
      <c r="D21" s="20">
        <f>SUMIF(Journal_Entries[Account #],"2120",Journal_Entries[Debit])</f>
        <v/>
      </c>
      <c r="E21" s="20">
        <f>SUMIF(Journal_Entries[Account #],"2120",Journal_Entries[Credit])</f>
        <v/>
      </c>
      <c r="F21" s="20">
        <f>D21-E21</f>
        <v/>
      </c>
    </row>
    <row r="22">
      <c r="A22" s="8" t="inlineStr">
        <is>
          <t>2200</t>
        </is>
      </c>
      <c r="B22" s="8" t="inlineStr">
        <is>
          <t>Short-Term Loans Payable</t>
        </is>
      </c>
      <c r="C22" s="8" t="inlineStr">
        <is>
          <t>Liability</t>
        </is>
      </c>
      <c r="D22" s="16">
        <f>SUMIF(Journal_Entries[Account #],"2200",Journal_Entries[Debit])</f>
        <v/>
      </c>
      <c r="E22" s="16">
        <f>SUMIF(Journal_Entries[Account #],"2200",Journal_Entries[Credit])</f>
        <v/>
      </c>
      <c r="F22" s="16">
        <f>D22-E22</f>
        <v/>
      </c>
    </row>
    <row r="23">
      <c r="A23" s="7" t="inlineStr">
        <is>
          <t>2300</t>
        </is>
      </c>
      <c r="B23" s="7" t="inlineStr">
        <is>
          <t>Deferred Revenue</t>
        </is>
      </c>
      <c r="C23" s="7" t="inlineStr">
        <is>
          <t>Liability</t>
        </is>
      </c>
      <c r="D23" s="20">
        <f>SUMIF(Journal_Entries[Account #],"2300",Journal_Entries[Debit])</f>
        <v/>
      </c>
      <c r="E23" s="20">
        <f>SUMIF(Journal_Entries[Account #],"2300",Journal_Entries[Credit])</f>
        <v/>
      </c>
      <c r="F23" s="20">
        <f>D23-E23</f>
        <v/>
      </c>
    </row>
    <row r="24">
      <c r="A24" s="8" t="inlineStr">
        <is>
          <t>2500</t>
        </is>
      </c>
      <c r="B24" s="8" t="inlineStr">
        <is>
          <t>Long-Term Debt</t>
        </is>
      </c>
      <c r="C24" s="8" t="inlineStr">
        <is>
          <t>Liability</t>
        </is>
      </c>
      <c r="D24" s="16">
        <f>SUMIF(Journal_Entries[Account #],"2500",Journal_Entries[Debit])</f>
        <v/>
      </c>
      <c r="E24" s="16">
        <f>SUMIF(Journal_Entries[Account #],"2500",Journal_Entries[Credit])</f>
        <v/>
      </c>
      <c r="F24" s="16">
        <f>D24-E24</f>
        <v/>
      </c>
    </row>
    <row r="25">
      <c r="A25" s="7" t="inlineStr">
        <is>
          <t>3000</t>
        </is>
      </c>
      <c r="B25" s="7" t="inlineStr">
        <is>
          <t>Common Stock</t>
        </is>
      </c>
      <c r="C25" s="7" t="inlineStr">
        <is>
          <t>Equity</t>
        </is>
      </c>
      <c r="D25" s="20">
        <f>SUMIF(Journal_Entries[Account #],"3000",Journal_Entries[Debit])</f>
        <v/>
      </c>
      <c r="E25" s="20">
        <f>SUMIF(Journal_Entries[Account #],"3000",Journal_Entries[Credit])</f>
        <v/>
      </c>
      <c r="F25" s="20">
        <f>D25-E25</f>
        <v/>
      </c>
    </row>
    <row r="26">
      <c r="A26" s="8" t="inlineStr">
        <is>
          <t>3100</t>
        </is>
      </c>
      <c r="B26" s="8" t="inlineStr">
        <is>
          <t>Retained Earnings</t>
        </is>
      </c>
      <c r="C26" s="8" t="inlineStr">
        <is>
          <t>Equity</t>
        </is>
      </c>
      <c r="D26" s="16">
        <f>SUMIF(Journal_Entries[Account #],"3100",Journal_Entries[Debit])</f>
        <v/>
      </c>
      <c r="E26" s="16">
        <f>SUMIF(Journal_Entries[Account #],"3100",Journal_Entries[Credit])</f>
        <v/>
      </c>
      <c r="F26" s="16">
        <f>D26-E26</f>
        <v/>
      </c>
    </row>
    <row r="27">
      <c r="A27" s="7" t="inlineStr">
        <is>
          <t>3200</t>
        </is>
      </c>
      <c r="B27" s="7" t="inlineStr">
        <is>
          <t>Owner's Draw</t>
        </is>
      </c>
      <c r="C27" s="7" t="inlineStr">
        <is>
          <t>Equity</t>
        </is>
      </c>
      <c r="D27" s="20">
        <f>SUMIF(Journal_Entries[Account #],"3200",Journal_Entries[Debit])</f>
        <v/>
      </c>
      <c r="E27" s="20">
        <f>SUMIF(Journal_Entries[Account #],"3200",Journal_Entries[Credit])</f>
        <v/>
      </c>
      <c r="F27" s="20">
        <f>D27-E27</f>
        <v/>
      </c>
    </row>
    <row r="28">
      <c r="A28" s="8" t="inlineStr">
        <is>
          <t>4000</t>
        </is>
      </c>
      <c r="B28" s="8" t="inlineStr">
        <is>
          <t>Sales Revenue</t>
        </is>
      </c>
      <c r="C28" s="8" t="inlineStr">
        <is>
          <t>Revenue</t>
        </is>
      </c>
      <c r="D28" s="16">
        <f>SUMIF(Journal_Entries[Account #],"4000",Journal_Entries[Debit])</f>
        <v/>
      </c>
      <c r="E28" s="16">
        <f>SUMIF(Journal_Entries[Account #],"4000",Journal_Entries[Credit])</f>
        <v/>
      </c>
      <c r="F28" s="16">
        <f>D28-E28</f>
        <v/>
      </c>
    </row>
    <row r="29">
      <c r="A29" s="7" t="inlineStr">
        <is>
          <t>4100</t>
        </is>
      </c>
      <c r="B29" s="7" t="inlineStr">
        <is>
          <t>Service Revenue</t>
        </is>
      </c>
      <c r="C29" s="7" t="inlineStr">
        <is>
          <t>Revenue</t>
        </is>
      </c>
      <c r="D29" s="20">
        <f>SUMIF(Journal_Entries[Account #],"4100",Journal_Entries[Debit])</f>
        <v/>
      </c>
      <c r="E29" s="20">
        <f>SUMIF(Journal_Entries[Account #],"4100",Journal_Entries[Credit])</f>
        <v/>
      </c>
      <c r="F29" s="20">
        <f>D29-E29</f>
        <v/>
      </c>
    </row>
    <row r="30">
      <c r="A30" s="8" t="inlineStr">
        <is>
          <t>4200</t>
        </is>
      </c>
      <c r="B30" s="8" t="inlineStr">
        <is>
          <t>Other Income</t>
        </is>
      </c>
      <c r="C30" s="8" t="inlineStr">
        <is>
          <t>Revenue</t>
        </is>
      </c>
      <c r="D30" s="16">
        <f>SUMIF(Journal_Entries[Account #],"4200",Journal_Entries[Debit])</f>
        <v/>
      </c>
      <c r="E30" s="16">
        <f>SUMIF(Journal_Entries[Account #],"4200",Journal_Entries[Credit])</f>
        <v/>
      </c>
      <c r="F30" s="16">
        <f>D30-E30</f>
        <v/>
      </c>
    </row>
    <row r="31">
      <c r="A31" s="7" t="inlineStr">
        <is>
          <t>4300</t>
        </is>
      </c>
      <c r="B31" s="7" t="inlineStr">
        <is>
          <t>Interest Income</t>
        </is>
      </c>
      <c r="C31" s="7" t="inlineStr">
        <is>
          <t>Revenue</t>
        </is>
      </c>
      <c r="D31" s="20">
        <f>SUMIF(Journal_Entries[Account #],"4300",Journal_Entries[Debit])</f>
        <v/>
      </c>
      <c r="E31" s="20">
        <f>SUMIF(Journal_Entries[Account #],"4300",Journal_Entries[Credit])</f>
        <v/>
      </c>
      <c r="F31" s="20">
        <f>D31-E31</f>
        <v/>
      </c>
    </row>
    <row r="32">
      <c r="A32" s="8" t="inlineStr">
        <is>
          <t>5000</t>
        </is>
      </c>
      <c r="B32" s="8" t="inlineStr">
        <is>
          <t>Cost of Goods Sold</t>
        </is>
      </c>
      <c r="C32" s="8" t="inlineStr">
        <is>
          <t>Expense</t>
        </is>
      </c>
      <c r="D32" s="16">
        <f>SUMIF(Journal_Entries[Account #],"5000",Journal_Entries[Debit])</f>
        <v/>
      </c>
      <c r="E32" s="16">
        <f>SUMIF(Journal_Entries[Account #],"5000",Journal_Entries[Credit])</f>
        <v/>
      </c>
      <c r="F32" s="16">
        <f>D32-E32</f>
        <v/>
      </c>
    </row>
    <row r="33">
      <c r="A33" s="7" t="inlineStr">
        <is>
          <t>5100</t>
        </is>
      </c>
      <c r="B33" s="7" t="inlineStr">
        <is>
          <t>Direct Labor</t>
        </is>
      </c>
      <c r="C33" s="7" t="inlineStr">
        <is>
          <t>Expense</t>
        </is>
      </c>
      <c r="D33" s="20">
        <f>SUMIF(Journal_Entries[Account #],"5100",Journal_Entries[Debit])</f>
        <v/>
      </c>
      <c r="E33" s="20">
        <f>SUMIF(Journal_Entries[Account #],"5100",Journal_Entries[Credit])</f>
        <v/>
      </c>
      <c r="F33" s="20">
        <f>D33-E33</f>
        <v/>
      </c>
    </row>
    <row r="34">
      <c r="A34" s="8" t="inlineStr">
        <is>
          <t>5200</t>
        </is>
      </c>
      <c r="B34" s="8" t="inlineStr">
        <is>
          <t>Freight &amp; Shipping</t>
        </is>
      </c>
      <c r="C34" s="8" t="inlineStr">
        <is>
          <t>Expense</t>
        </is>
      </c>
      <c r="D34" s="16">
        <f>SUMIF(Journal_Entries[Account #],"5200",Journal_Entries[Debit])</f>
        <v/>
      </c>
      <c r="E34" s="16">
        <f>SUMIF(Journal_Entries[Account #],"5200",Journal_Entries[Credit])</f>
        <v/>
      </c>
      <c r="F34" s="16">
        <f>D34-E34</f>
        <v/>
      </c>
    </row>
    <row r="35">
      <c r="A35" s="7" t="inlineStr">
        <is>
          <t>6000</t>
        </is>
      </c>
      <c r="B35" s="7" t="inlineStr">
        <is>
          <t>Salaries &amp; Wages</t>
        </is>
      </c>
      <c r="C35" s="7" t="inlineStr">
        <is>
          <t>Expense</t>
        </is>
      </c>
      <c r="D35" s="20">
        <f>SUMIF(Journal_Entries[Account #],"6000",Journal_Entries[Debit])</f>
        <v/>
      </c>
      <c r="E35" s="20">
        <f>SUMIF(Journal_Entries[Account #],"6000",Journal_Entries[Credit])</f>
        <v/>
      </c>
      <c r="F35" s="20">
        <f>D35-E35</f>
        <v/>
      </c>
    </row>
    <row r="36">
      <c r="A36" s="8" t="inlineStr">
        <is>
          <t>6010</t>
        </is>
      </c>
      <c r="B36" s="8" t="inlineStr">
        <is>
          <t>Payroll Taxes</t>
        </is>
      </c>
      <c r="C36" s="8" t="inlineStr">
        <is>
          <t>Expense</t>
        </is>
      </c>
      <c r="D36" s="16">
        <f>SUMIF(Journal_Entries[Account #],"6010",Journal_Entries[Debit])</f>
        <v/>
      </c>
      <c r="E36" s="16">
        <f>SUMIF(Journal_Entries[Account #],"6010",Journal_Entries[Credit])</f>
        <v/>
      </c>
      <c r="F36" s="16">
        <f>D36-E36</f>
        <v/>
      </c>
    </row>
    <row r="37">
      <c r="A37" s="7" t="inlineStr">
        <is>
          <t>6020</t>
        </is>
      </c>
      <c r="B37" s="7" t="inlineStr">
        <is>
          <t>Employee Benefits</t>
        </is>
      </c>
      <c r="C37" s="7" t="inlineStr">
        <is>
          <t>Expense</t>
        </is>
      </c>
      <c r="D37" s="20">
        <f>SUMIF(Journal_Entries[Account #],"6020",Journal_Entries[Debit])</f>
        <v/>
      </c>
      <c r="E37" s="20">
        <f>SUMIF(Journal_Entries[Account #],"6020",Journal_Entries[Credit])</f>
        <v/>
      </c>
      <c r="F37" s="20">
        <f>D37-E37</f>
        <v/>
      </c>
    </row>
    <row r="38">
      <c r="A38" s="8" t="inlineStr">
        <is>
          <t>6100</t>
        </is>
      </c>
      <c r="B38" s="8" t="inlineStr">
        <is>
          <t>Rent Expense</t>
        </is>
      </c>
      <c r="C38" s="8" t="inlineStr">
        <is>
          <t>Expense</t>
        </is>
      </c>
      <c r="D38" s="16">
        <f>SUMIF(Journal_Entries[Account #],"6100",Journal_Entries[Debit])</f>
        <v/>
      </c>
      <c r="E38" s="16">
        <f>SUMIF(Journal_Entries[Account #],"6100",Journal_Entries[Credit])</f>
        <v/>
      </c>
      <c r="F38" s="16">
        <f>D38-E38</f>
        <v/>
      </c>
    </row>
    <row r="39">
      <c r="A39" s="7" t="inlineStr">
        <is>
          <t>6110</t>
        </is>
      </c>
      <c r="B39" s="7" t="inlineStr">
        <is>
          <t>Utilities</t>
        </is>
      </c>
      <c r="C39" s="7" t="inlineStr">
        <is>
          <t>Expense</t>
        </is>
      </c>
      <c r="D39" s="20">
        <f>SUMIF(Journal_Entries[Account #],"6110",Journal_Entries[Debit])</f>
        <v/>
      </c>
      <c r="E39" s="20">
        <f>SUMIF(Journal_Entries[Account #],"6110",Journal_Entries[Credit])</f>
        <v/>
      </c>
      <c r="F39" s="20">
        <f>D39-E39</f>
        <v/>
      </c>
    </row>
    <row r="40">
      <c r="A40" s="8" t="inlineStr">
        <is>
          <t>6120</t>
        </is>
      </c>
      <c r="B40" s="8" t="inlineStr">
        <is>
          <t>Insurance</t>
        </is>
      </c>
      <c r="C40" s="8" t="inlineStr">
        <is>
          <t>Expense</t>
        </is>
      </c>
      <c r="D40" s="16">
        <f>SUMIF(Journal_Entries[Account #],"6120",Journal_Entries[Debit])</f>
        <v/>
      </c>
      <c r="E40" s="16">
        <f>SUMIF(Journal_Entries[Account #],"6120",Journal_Entries[Credit])</f>
        <v/>
      </c>
      <c r="F40" s="16">
        <f>D40-E40</f>
        <v/>
      </c>
    </row>
    <row r="41">
      <c r="A41" s="7" t="inlineStr">
        <is>
          <t>6200</t>
        </is>
      </c>
      <c r="B41" s="7" t="inlineStr">
        <is>
          <t>Advertising &amp; Marketing</t>
        </is>
      </c>
      <c r="C41" s="7" t="inlineStr">
        <is>
          <t>Expense</t>
        </is>
      </c>
      <c r="D41" s="20">
        <f>SUMIF(Journal_Entries[Account #],"6200",Journal_Entries[Debit])</f>
        <v/>
      </c>
      <c r="E41" s="20">
        <f>SUMIF(Journal_Entries[Account #],"6200",Journal_Entries[Credit])</f>
        <v/>
      </c>
      <c r="F41" s="20">
        <f>D41-E41</f>
        <v/>
      </c>
    </row>
    <row r="42">
      <c r="A42" s="8" t="inlineStr">
        <is>
          <t>6210</t>
        </is>
      </c>
      <c r="B42" s="8" t="inlineStr">
        <is>
          <t>Software &amp; Subscriptions</t>
        </is>
      </c>
      <c r="C42" s="8" t="inlineStr">
        <is>
          <t>Expense</t>
        </is>
      </c>
      <c r="D42" s="16">
        <f>SUMIF(Journal_Entries[Account #],"6210",Journal_Entries[Debit])</f>
        <v/>
      </c>
      <c r="E42" s="16">
        <f>SUMIF(Journal_Entries[Account #],"6210",Journal_Entries[Credit])</f>
        <v/>
      </c>
      <c r="F42" s="16">
        <f>D42-E42</f>
        <v/>
      </c>
    </row>
    <row r="43">
      <c r="A43" s="7" t="inlineStr">
        <is>
          <t>6220</t>
        </is>
      </c>
      <c r="B43" s="7" t="inlineStr">
        <is>
          <t>Office Supplies</t>
        </is>
      </c>
      <c r="C43" s="7" t="inlineStr">
        <is>
          <t>Expense</t>
        </is>
      </c>
      <c r="D43" s="20">
        <f>SUMIF(Journal_Entries[Account #],"6220",Journal_Entries[Debit])</f>
        <v/>
      </c>
      <c r="E43" s="20">
        <f>SUMIF(Journal_Entries[Account #],"6220",Journal_Entries[Credit])</f>
        <v/>
      </c>
      <c r="F43" s="20">
        <f>D43-E43</f>
        <v/>
      </c>
    </row>
    <row r="44">
      <c r="A44" s="8" t="inlineStr">
        <is>
          <t>6300</t>
        </is>
      </c>
      <c r="B44" s="8" t="inlineStr">
        <is>
          <t>Travel &amp; Entertainment</t>
        </is>
      </c>
      <c r="C44" s="8" t="inlineStr">
        <is>
          <t>Expense</t>
        </is>
      </c>
      <c r="D44" s="16">
        <f>SUMIF(Journal_Entries[Account #],"6300",Journal_Entries[Debit])</f>
        <v/>
      </c>
      <c r="E44" s="16">
        <f>SUMIF(Journal_Entries[Account #],"6300",Journal_Entries[Credit])</f>
        <v/>
      </c>
      <c r="F44" s="16">
        <f>D44-E44</f>
        <v/>
      </c>
    </row>
    <row r="45">
      <c r="A45" s="7" t="inlineStr">
        <is>
          <t>6310</t>
        </is>
      </c>
      <c r="B45" s="7" t="inlineStr">
        <is>
          <t>Vehicle Expense</t>
        </is>
      </c>
      <c r="C45" s="7" t="inlineStr">
        <is>
          <t>Expense</t>
        </is>
      </c>
      <c r="D45" s="20">
        <f>SUMIF(Journal_Entries[Account #],"6310",Journal_Entries[Debit])</f>
        <v/>
      </c>
      <c r="E45" s="20">
        <f>SUMIF(Journal_Entries[Account #],"6310",Journal_Entries[Credit])</f>
        <v/>
      </c>
      <c r="F45" s="20">
        <f>D45-E45</f>
        <v/>
      </c>
    </row>
    <row r="46">
      <c r="A46" s="8" t="inlineStr">
        <is>
          <t>6400</t>
        </is>
      </c>
      <c r="B46" s="8" t="inlineStr">
        <is>
          <t>Professional Fees</t>
        </is>
      </c>
      <c r="C46" s="8" t="inlineStr">
        <is>
          <t>Expense</t>
        </is>
      </c>
      <c r="D46" s="16">
        <f>SUMIF(Journal_Entries[Account #],"6400",Journal_Entries[Debit])</f>
        <v/>
      </c>
      <c r="E46" s="16">
        <f>SUMIF(Journal_Entries[Account #],"6400",Journal_Entries[Credit])</f>
        <v/>
      </c>
      <c r="F46" s="16">
        <f>D46-E46</f>
        <v/>
      </c>
    </row>
    <row r="47">
      <c r="A47" s="7" t="inlineStr">
        <is>
          <t>6500</t>
        </is>
      </c>
      <c r="B47" s="7" t="inlineStr">
        <is>
          <t>Depreciation Expense</t>
        </is>
      </c>
      <c r="C47" s="7" t="inlineStr">
        <is>
          <t>Expense</t>
        </is>
      </c>
      <c r="D47" s="20">
        <f>SUMIF(Journal_Entries[Account #],"6500",Journal_Entries[Debit])</f>
        <v/>
      </c>
      <c r="E47" s="20">
        <f>SUMIF(Journal_Entries[Account #],"6500",Journal_Entries[Credit])</f>
        <v/>
      </c>
      <c r="F47" s="20">
        <f>D47-E47</f>
        <v/>
      </c>
    </row>
    <row r="48">
      <c r="A48" s="8" t="inlineStr">
        <is>
          <t>6600</t>
        </is>
      </c>
      <c r="B48" s="8" t="inlineStr">
        <is>
          <t>Bad Debt Expense</t>
        </is>
      </c>
      <c r="C48" s="8" t="inlineStr">
        <is>
          <t>Expense</t>
        </is>
      </c>
      <c r="D48" s="16">
        <f>SUMIF(Journal_Entries[Account #],"6600",Journal_Entries[Debit])</f>
        <v/>
      </c>
      <c r="E48" s="16">
        <f>SUMIF(Journal_Entries[Account #],"6600",Journal_Entries[Credit])</f>
        <v/>
      </c>
      <c r="F48" s="16">
        <f>D48-E48</f>
        <v/>
      </c>
    </row>
    <row r="49">
      <c r="A49" s="7" t="inlineStr">
        <is>
          <t>6700</t>
        </is>
      </c>
      <c r="B49" s="7" t="inlineStr">
        <is>
          <t>Bank Charges</t>
        </is>
      </c>
      <c r="C49" s="7" t="inlineStr">
        <is>
          <t>Expense</t>
        </is>
      </c>
      <c r="D49" s="20">
        <f>SUMIF(Journal_Entries[Account #],"6700",Journal_Entries[Debit])</f>
        <v/>
      </c>
      <c r="E49" s="20">
        <f>SUMIF(Journal_Entries[Account #],"6700",Journal_Entries[Credit])</f>
        <v/>
      </c>
      <c r="F49" s="20">
        <f>D49-E49</f>
        <v/>
      </c>
    </row>
    <row r="50">
      <c r="A50" s="8" t="inlineStr">
        <is>
          <t>6800</t>
        </is>
      </c>
      <c r="B50" s="8" t="inlineStr">
        <is>
          <t>Interest Expense</t>
        </is>
      </c>
      <c r="C50" s="8" t="inlineStr">
        <is>
          <t>Expense</t>
        </is>
      </c>
      <c r="D50" s="16">
        <f>SUMIF(Journal_Entries[Account #],"6800",Journal_Entries[Debit])</f>
        <v/>
      </c>
      <c r="E50" s="16">
        <f>SUMIF(Journal_Entries[Account #],"6800",Journal_Entries[Credit])</f>
        <v/>
      </c>
      <c r="F50" s="16">
        <f>D50-E50</f>
        <v/>
      </c>
    </row>
    <row r="51">
      <c r="A51" s="7" t="inlineStr">
        <is>
          <t>6900</t>
        </is>
      </c>
      <c r="B51" s="7" t="inlineStr">
        <is>
          <t>Miscellaneous Expense</t>
        </is>
      </c>
      <c r="C51" s="7" t="inlineStr">
        <is>
          <t>Expense</t>
        </is>
      </c>
      <c r="D51" s="20">
        <f>SUMIF(Journal_Entries[Account #],"6900",Journal_Entries[Debit])</f>
        <v/>
      </c>
      <c r="E51" s="20">
        <f>SUMIF(Journal_Entries[Account #],"6900",Journal_Entries[Credit])</f>
        <v/>
      </c>
      <c r="F51" s="20">
        <f>D51-E51</f>
        <v/>
      </c>
    </row>
    <row r="52">
      <c r="A52" s="8" t="inlineStr">
        <is>
          <t>7000</t>
        </is>
      </c>
      <c r="B52" s="8" t="inlineStr">
        <is>
          <t>Income Tax Expense</t>
        </is>
      </c>
      <c r="C52" s="8" t="inlineStr">
        <is>
          <t>Expense</t>
        </is>
      </c>
      <c r="D52" s="16">
        <f>SUMIF(Journal_Entries[Account #],"7000",Journal_Entries[Debit])</f>
        <v/>
      </c>
      <c r="E52" s="16">
        <f>SUMIF(Journal_Entries[Account #],"7000",Journal_Entries[Credit])</f>
        <v/>
      </c>
      <c r="F52" s="16">
        <f>D52-E52</f>
        <v/>
      </c>
    </row>
    <row r="54">
      <c r="A54" s="24" t="inlineStr">
        <is>
          <t>GRAND TOTAL</t>
        </is>
      </c>
      <c r="D54" s="25">
        <f>SUM(D5:D52)</f>
        <v/>
      </c>
      <c r="E54" s="25">
        <f>SUM(E5:E52)</f>
        <v/>
      </c>
      <c r="F54" s="25">
        <f>SUM(F5:F52)</f>
        <v/>
      </c>
    </row>
    <row r="55">
      <c r="A55" s="26" t="inlineStr">
        <is>
          <t>CHECK (D-E should = 0)</t>
        </is>
      </c>
      <c r="D55" s="27">
        <f>D54-E54</f>
        <v/>
      </c>
    </row>
  </sheetData>
  <mergeCells count="3">
    <mergeCell ref="A3:F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E8449"/>
    <outlinePr summaryBelow="1" summaryRight="1"/>
    <pageSetUpPr/>
  </sheetPr>
  <dimension ref="A1:H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3" max="3"/>
  </cols>
  <sheetData>
    <row r="1" ht="36" customHeight="1">
      <c r="A1" s="9" t="inlineStr">
        <is>
          <t>📈  Profit &amp; Loss Statement</t>
        </is>
      </c>
    </row>
    <row r="2" ht="18" customHeight="1">
      <c r="A2" s="10" t="inlineStr">
        <is>
          <t>For the period ending March 30, 2026</t>
        </is>
      </c>
    </row>
    <row r="4" ht="20" customHeight="1">
      <c r="A4" s="11" t="inlineStr">
        <is>
          <t>REVENUE</t>
        </is>
      </c>
    </row>
    <row r="5">
      <c r="A5" s="7" t="inlineStr">
        <is>
          <t>Sales Revenue</t>
        </is>
      </c>
      <c r="B5" s="29" t="inlineStr">
        <is>
          <t>Revenue</t>
        </is>
      </c>
      <c r="C5" s="20">
        <f>SUMIF(Journal_Entries[Account #],"4000",Journal_Entries[Credit])-SUMIF(Journal_Entries[Account #],"4000",Journal_Entries[Debit])</f>
        <v/>
      </c>
    </row>
    <row r="6">
      <c r="A6" s="8" t="inlineStr">
        <is>
          <t>Service Revenue</t>
        </is>
      </c>
      <c r="B6" s="29" t="inlineStr">
        <is>
          <t>Revenue</t>
        </is>
      </c>
      <c r="C6" s="16">
        <f>SUMIF(Journal_Entries[Account #],"4100",Journal_Entries[Credit])-SUMIF(Journal_Entries[Account #],"4100",Journal_Entries[Debit])</f>
        <v/>
      </c>
    </row>
    <row r="7">
      <c r="A7" s="7" t="inlineStr">
        <is>
          <t>Other Income</t>
        </is>
      </c>
      <c r="B7" s="29" t="inlineStr">
        <is>
          <t>Revenue</t>
        </is>
      </c>
      <c r="C7" s="20">
        <f>SUMIF(Journal_Entries[Account #],"4200",Journal_Entries[Credit])-SUMIF(Journal_Entries[Account #],"4200",Journal_Entries[Debit])</f>
        <v/>
      </c>
    </row>
    <row r="8">
      <c r="A8" s="8" t="inlineStr">
        <is>
          <t>Interest Income</t>
        </is>
      </c>
      <c r="B8" s="29" t="inlineStr">
        <is>
          <t>Revenue</t>
        </is>
      </c>
      <c r="C8" s="16">
        <f>SUMIF(Journal_Entries[Account #],"4300",Journal_Entries[Credit])-SUMIF(Journal_Entries[Account #],"4300",Journal_Entries[Debit])</f>
        <v/>
      </c>
    </row>
    <row r="9">
      <c r="A9" s="30" t="inlineStr">
        <is>
          <t>Total Revenue</t>
        </is>
      </c>
      <c r="C9" s="31">
        <f>SUM(C5:C8)</f>
        <v/>
      </c>
    </row>
    <row r="11" ht="20" customHeight="1">
      <c r="A11" s="11" t="inlineStr">
        <is>
          <t>COST OF GOODS SOLD</t>
        </is>
      </c>
    </row>
    <row r="12">
      <c r="A12" s="8" t="inlineStr">
        <is>
          <t>Cost of Goods Sold</t>
        </is>
      </c>
      <c r="B12" s="29" t="inlineStr">
        <is>
          <t>Expense</t>
        </is>
      </c>
      <c r="C12" s="16">
        <f>SUMIF(Journal_Entries[Account #],"5000",Journal_Entries[Credit])-SUMIF(Journal_Entries[Account #],"5000",Journal_Entries[Debit])</f>
        <v/>
      </c>
    </row>
    <row r="13">
      <c r="A13" s="7" t="inlineStr">
        <is>
          <t>Direct Labor</t>
        </is>
      </c>
      <c r="B13" s="29" t="inlineStr">
        <is>
          <t>Expense</t>
        </is>
      </c>
      <c r="C13" s="20">
        <f>SUMIF(Journal_Entries[Account #],"5100",Journal_Entries[Credit])-SUMIF(Journal_Entries[Account #],"5100",Journal_Entries[Debit])</f>
        <v/>
      </c>
    </row>
    <row r="14">
      <c r="A14" s="8" t="inlineStr">
        <is>
          <t>Freight &amp; Shipping</t>
        </is>
      </c>
      <c r="B14" s="29" t="inlineStr">
        <is>
          <t>Expense</t>
        </is>
      </c>
      <c r="C14" s="16">
        <f>SUMIF(Journal_Entries[Account #],"5200",Journal_Entries[Credit])-SUMIF(Journal_Entries[Account #],"5200",Journal_Entries[Debit])</f>
        <v/>
      </c>
    </row>
    <row r="15">
      <c r="A15" s="30" t="inlineStr">
        <is>
          <t>Total COGS</t>
        </is>
      </c>
      <c r="C15" s="31">
        <f>SUM(C12:C14)</f>
        <v/>
      </c>
    </row>
    <row r="16">
      <c r="A16" s="32" t="inlineStr">
        <is>
          <t>GROSS PROFIT</t>
        </is>
      </c>
      <c r="C16" s="33">
        <f>C9-C15</f>
        <v/>
      </c>
    </row>
    <row r="18" ht="20" customHeight="1">
      <c r="A18" s="11" t="inlineStr">
        <is>
          <t>OPERATING EXPENSES</t>
        </is>
      </c>
    </row>
    <row r="19">
      <c r="A19" s="7" t="inlineStr">
        <is>
          <t>Salaries &amp; Wages</t>
        </is>
      </c>
      <c r="B19" s="29" t="inlineStr">
        <is>
          <t>Expense</t>
        </is>
      </c>
      <c r="C19" s="20">
        <f>SUMIF(Journal_Entries[Account #],"6000",Journal_Entries[Credit])-SUMIF(Journal_Entries[Account #],"6000",Journal_Entries[Debit])</f>
        <v/>
      </c>
    </row>
    <row r="20">
      <c r="A20" s="8" t="inlineStr">
        <is>
          <t>Payroll Taxes</t>
        </is>
      </c>
      <c r="B20" s="29" t="inlineStr">
        <is>
          <t>Expense</t>
        </is>
      </c>
      <c r="C20" s="16">
        <f>SUMIF(Journal_Entries[Account #],"6010",Journal_Entries[Credit])-SUMIF(Journal_Entries[Account #],"6010",Journal_Entries[Debit])</f>
        <v/>
      </c>
    </row>
    <row r="21">
      <c r="A21" s="7" t="inlineStr">
        <is>
          <t>Employee Benefits</t>
        </is>
      </c>
      <c r="B21" s="29" t="inlineStr">
        <is>
          <t>Expense</t>
        </is>
      </c>
      <c r="C21" s="20">
        <f>SUMIF(Journal_Entries[Account #],"6020",Journal_Entries[Credit])-SUMIF(Journal_Entries[Account #],"6020",Journal_Entries[Debit])</f>
        <v/>
      </c>
    </row>
    <row r="22">
      <c r="A22" s="8" t="inlineStr">
        <is>
          <t>Rent Expense</t>
        </is>
      </c>
      <c r="B22" s="29" t="inlineStr">
        <is>
          <t>Expense</t>
        </is>
      </c>
      <c r="C22" s="16">
        <f>SUMIF(Journal_Entries[Account #],"6100",Journal_Entries[Credit])-SUMIF(Journal_Entries[Account #],"6100",Journal_Entries[Debit])</f>
        <v/>
      </c>
    </row>
    <row r="23">
      <c r="A23" s="7" t="inlineStr">
        <is>
          <t>Utilities</t>
        </is>
      </c>
      <c r="B23" s="29" t="inlineStr">
        <is>
          <t>Expense</t>
        </is>
      </c>
      <c r="C23" s="20">
        <f>SUMIF(Journal_Entries[Account #],"6110",Journal_Entries[Credit])-SUMIF(Journal_Entries[Account #],"6110",Journal_Entries[Debit])</f>
        <v/>
      </c>
    </row>
    <row r="24">
      <c r="A24" s="8" t="inlineStr">
        <is>
          <t>Insurance</t>
        </is>
      </c>
      <c r="B24" s="29" t="inlineStr">
        <is>
          <t>Expense</t>
        </is>
      </c>
      <c r="C24" s="16">
        <f>SUMIF(Journal_Entries[Account #],"6120",Journal_Entries[Credit])-SUMIF(Journal_Entries[Account #],"6120",Journal_Entries[Debit])</f>
        <v/>
      </c>
    </row>
    <row r="25">
      <c r="A25" s="7" t="inlineStr">
        <is>
          <t>Advertising &amp; Marketing</t>
        </is>
      </c>
      <c r="B25" s="29" t="inlineStr">
        <is>
          <t>Expense</t>
        </is>
      </c>
      <c r="C25" s="20">
        <f>SUMIF(Journal_Entries[Account #],"6200",Journal_Entries[Credit])-SUMIF(Journal_Entries[Account #],"6200",Journal_Entries[Debit])</f>
        <v/>
      </c>
    </row>
    <row r="26">
      <c r="A26" s="8" t="inlineStr">
        <is>
          <t>Software &amp; Subscriptions</t>
        </is>
      </c>
      <c r="B26" s="29" t="inlineStr">
        <is>
          <t>Expense</t>
        </is>
      </c>
      <c r="C26" s="16">
        <f>SUMIF(Journal_Entries[Account #],"6210",Journal_Entries[Credit])-SUMIF(Journal_Entries[Account #],"6210",Journal_Entries[Debit])</f>
        <v/>
      </c>
    </row>
    <row r="27">
      <c r="A27" s="7" t="inlineStr">
        <is>
          <t>Office Supplies</t>
        </is>
      </c>
      <c r="B27" s="29" t="inlineStr">
        <is>
          <t>Expense</t>
        </is>
      </c>
      <c r="C27" s="20">
        <f>SUMIF(Journal_Entries[Account #],"6220",Journal_Entries[Credit])-SUMIF(Journal_Entries[Account #],"6220",Journal_Entries[Debit])</f>
        <v/>
      </c>
    </row>
    <row r="28">
      <c r="A28" s="8" t="inlineStr">
        <is>
          <t>Travel &amp; Entertainment</t>
        </is>
      </c>
      <c r="B28" s="29" t="inlineStr">
        <is>
          <t>Expense</t>
        </is>
      </c>
      <c r="C28" s="16">
        <f>SUMIF(Journal_Entries[Account #],"6300",Journal_Entries[Credit])-SUMIF(Journal_Entries[Account #],"6300",Journal_Entries[Debit])</f>
        <v/>
      </c>
    </row>
    <row r="29">
      <c r="A29" s="7" t="inlineStr">
        <is>
          <t>Vehicle Expense</t>
        </is>
      </c>
      <c r="B29" s="29" t="inlineStr">
        <is>
          <t>Expense</t>
        </is>
      </c>
      <c r="C29" s="20">
        <f>SUMIF(Journal_Entries[Account #],"6310",Journal_Entries[Credit])-SUMIF(Journal_Entries[Account #],"6310",Journal_Entries[Debit])</f>
        <v/>
      </c>
    </row>
    <row r="30">
      <c r="A30" s="8" t="inlineStr">
        <is>
          <t>Professional Fees</t>
        </is>
      </c>
      <c r="B30" s="29" t="inlineStr">
        <is>
          <t>Expense</t>
        </is>
      </c>
      <c r="C30" s="16">
        <f>SUMIF(Journal_Entries[Account #],"6400",Journal_Entries[Credit])-SUMIF(Journal_Entries[Account #],"6400",Journal_Entries[Debit])</f>
        <v/>
      </c>
    </row>
    <row r="31">
      <c r="A31" s="7" t="inlineStr">
        <is>
          <t>Depreciation Expense</t>
        </is>
      </c>
      <c r="B31" s="29" t="inlineStr">
        <is>
          <t>Expense</t>
        </is>
      </c>
      <c r="C31" s="20">
        <f>SUMIF(Journal_Entries[Account #],"6500",Journal_Entries[Credit])-SUMIF(Journal_Entries[Account #],"6500",Journal_Entries[Debit])</f>
        <v/>
      </c>
    </row>
    <row r="32">
      <c r="A32" s="8" t="inlineStr">
        <is>
          <t>Bad Debt Expense</t>
        </is>
      </c>
      <c r="B32" s="29" t="inlineStr">
        <is>
          <t>Expense</t>
        </is>
      </c>
      <c r="C32" s="16">
        <f>SUMIF(Journal_Entries[Account #],"6600",Journal_Entries[Credit])-SUMIF(Journal_Entries[Account #],"6600",Journal_Entries[Debit])</f>
        <v/>
      </c>
    </row>
    <row r="33">
      <c r="A33" s="7" t="inlineStr">
        <is>
          <t>Bank Charges</t>
        </is>
      </c>
      <c r="B33" s="29" t="inlineStr">
        <is>
          <t>Expense</t>
        </is>
      </c>
      <c r="C33" s="20">
        <f>SUMIF(Journal_Entries[Account #],"6700",Journal_Entries[Credit])-SUMIF(Journal_Entries[Account #],"6700",Journal_Entries[Debit])</f>
        <v/>
      </c>
    </row>
    <row r="34">
      <c r="A34" s="8" t="inlineStr">
        <is>
          <t>Interest Expense</t>
        </is>
      </c>
      <c r="B34" s="29" t="inlineStr">
        <is>
          <t>Expense</t>
        </is>
      </c>
      <c r="C34" s="16">
        <f>SUMIF(Journal_Entries[Account #],"6800",Journal_Entries[Credit])-SUMIF(Journal_Entries[Account #],"6800",Journal_Entries[Debit])</f>
        <v/>
      </c>
    </row>
    <row r="35">
      <c r="A35" s="7" t="inlineStr">
        <is>
          <t>Miscellaneous Expense</t>
        </is>
      </c>
      <c r="B35" s="29" t="inlineStr">
        <is>
          <t>Expense</t>
        </is>
      </c>
      <c r="C35" s="20">
        <f>SUMIF(Journal_Entries[Account #],"6900",Journal_Entries[Credit])-SUMIF(Journal_Entries[Account #],"6900",Journal_Entries[Debit])</f>
        <v/>
      </c>
    </row>
    <row r="36">
      <c r="A36" s="30" t="inlineStr">
        <is>
          <t>Total Operating Expenses</t>
        </is>
      </c>
      <c r="C36" s="31">
        <f>SUM(C19:C35)</f>
        <v/>
      </c>
    </row>
    <row r="37">
      <c r="A37" s="34" t="inlineStr">
        <is>
          <t>NET INCOME / (LOSS)</t>
        </is>
      </c>
      <c r="C37" s="35">
        <f>C16-C36</f>
        <v/>
      </c>
    </row>
  </sheetData>
  <mergeCells count="5">
    <mergeCell ref="A11:C11"/>
    <mergeCell ref="A2:H2"/>
    <mergeCell ref="A18:C18"/>
    <mergeCell ref="A1:H1"/>
    <mergeCell ref="A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3" max="3"/>
  </cols>
  <sheetData>
    <row r="1" ht="36" customHeight="1">
      <c r="A1" s="9" t="inlineStr">
        <is>
          <t>📊  Balance Sheet</t>
        </is>
      </c>
    </row>
    <row r="2" ht="18" customHeight="1">
      <c r="A2" s="10" t="inlineStr">
        <is>
          <t>As of March 30, 2026</t>
        </is>
      </c>
    </row>
    <row r="4" ht="20" customHeight="1">
      <c r="A4" s="36" t="inlineStr">
        <is>
          <t>ASSETS</t>
        </is>
      </c>
    </row>
    <row r="5" ht="20" customHeight="1">
      <c r="A5" s="36" t="inlineStr">
        <is>
          <t>Current Assets</t>
        </is>
      </c>
    </row>
    <row r="6">
      <c r="A6" s="8" t="inlineStr">
        <is>
          <t>Cash – Checking</t>
        </is>
      </c>
      <c r="C6" s="16">
        <f>SUMIF(Journal_Entries[Account #],"1000",Journal_Entries[Debit])-SUMIF(Journal_Entries[Account #],"1000",Journal_Entries[Credit])</f>
        <v/>
      </c>
    </row>
    <row r="7">
      <c r="A7" s="7" t="inlineStr">
        <is>
          <t>Cash – Savings</t>
        </is>
      </c>
      <c r="C7" s="20">
        <f>SUMIF(Journal_Entries[Account #],"1010",Journal_Entries[Debit])-SUMIF(Journal_Entries[Account #],"1010",Journal_Entries[Credit])</f>
        <v/>
      </c>
    </row>
    <row r="8">
      <c r="A8" s="8" t="inlineStr">
        <is>
          <t>Petty Cash</t>
        </is>
      </c>
      <c r="C8" s="16">
        <f>SUMIF(Journal_Entries[Account #],"1020",Journal_Entries[Debit])-SUMIF(Journal_Entries[Account #],"1020",Journal_Entries[Credit])</f>
        <v/>
      </c>
    </row>
    <row r="9">
      <c r="A9" s="7" t="inlineStr">
        <is>
          <t>Accounts Receivable</t>
        </is>
      </c>
      <c r="C9" s="20">
        <f>SUMIF(Journal_Entries[Account #],"1100",Journal_Entries[Debit])-SUMIF(Journal_Entries[Account #],"1100",Journal_Entries[Credit])</f>
        <v/>
      </c>
    </row>
    <row r="10">
      <c r="A10" s="8" t="inlineStr">
        <is>
          <t>Allowance for Doubtful Accts</t>
        </is>
      </c>
      <c r="C10" s="16">
        <f>SUMIF(Journal_Entries[Account #],"1110",Journal_Entries[Debit])-SUMIF(Journal_Entries[Account #],"1110",Journal_Entries[Credit])</f>
        <v/>
      </c>
    </row>
    <row r="11">
      <c r="A11" s="7" t="inlineStr">
        <is>
          <t>Inventory</t>
        </is>
      </c>
      <c r="C11" s="20">
        <f>SUMIF(Journal_Entries[Account #],"1200",Journal_Entries[Debit])-SUMIF(Journal_Entries[Account #],"1200",Journal_Entries[Credit])</f>
        <v/>
      </c>
    </row>
    <row r="12">
      <c r="A12" s="8" t="inlineStr">
        <is>
          <t>Prepaid Expenses</t>
        </is>
      </c>
      <c r="C12" s="16">
        <f>SUMIF(Journal_Entries[Account #],"1210",Journal_Entries[Debit])-SUMIF(Journal_Entries[Account #],"1210",Journal_Entries[Credit])</f>
        <v/>
      </c>
    </row>
    <row r="13">
      <c r="A13" s="30" t="inlineStr">
        <is>
          <t>Total Current Assets</t>
        </is>
      </c>
      <c r="C13" s="31">
        <f>SUM(C6:C12)</f>
        <v/>
      </c>
    </row>
    <row r="15" ht="20" customHeight="1">
      <c r="A15" s="36" t="inlineStr">
        <is>
          <t>Fixed Assets</t>
        </is>
      </c>
    </row>
    <row r="16">
      <c r="A16" s="8" t="inlineStr">
        <is>
          <t>Equipment</t>
        </is>
      </c>
      <c r="C16" s="16">
        <f>SUMIF(Journal_Entries[Account #],"1500",Journal_Entries[Debit])-SUMIF(Journal_Entries[Account #],"1500",Journal_Entries[Credit])</f>
        <v/>
      </c>
    </row>
    <row r="17">
      <c r="A17" s="7" t="inlineStr">
        <is>
          <t>Accumulated Depreciation</t>
        </is>
      </c>
      <c r="C17" s="20">
        <f>SUMIF(Journal_Entries[Account #],"1510",Journal_Entries[Debit])-SUMIF(Journal_Entries[Account #],"1510",Journal_Entries[Credit])</f>
        <v/>
      </c>
    </row>
    <row r="18">
      <c r="A18" s="8" t="inlineStr">
        <is>
          <t>Furniture &amp; Fixtures</t>
        </is>
      </c>
      <c r="C18" s="16">
        <f>SUMIF(Journal_Entries[Account #],"1600",Journal_Entries[Debit])-SUMIF(Journal_Entries[Account #],"1600",Journal_Entries[Credit])</f>
        <v/>
      </c>
    </row>
    <row r="19">
      <c r="A19" s="7" t="inlineStr">
        <is>
          <t>Vehicles</t>
        </is>
      </c>
      <c r="C19" s="20">
        <f>SUMIF(Journal_Entries[Account #],"1700",Journal_Entries[Debit])-SUMIF(Journal_Entries[Account #],"1700",Journal_Entries[Credit])</f>
        <v/>
      </c>
    </row>
    <row r="20">
      <c r="A20" s="8" t="inlineStr">
        <is>
          <t>Leasehold Improvements</t>
        </is>
      </c>
      <c r="C20" s="16">
        <f>SUMIF(Journal_Entries[Account #],"1800",Journal_Entries[Debit])-SUMIF(Journal_Entries[Account #],"1800",Journal_Entries[Credit])</f>
        <v/>
      </c>
    </row>
    <row r="21">
      <c r="A21" s="30" t="inlineStr">
        <is>
          <t>Total Fixed Assets</t>
        </is>
      </c>
      <c r="C21" s="31">
        <f>SUM(C16:C20)</f>
        <v/>
      </c>
    </row>
    <row r="23" ht="20" customHeight="1">
      <c r="A23" s="36" t="inlineStr">
        <is>
          <t>Other Assets</t>
        </is>
      </c>
    </row>
    <row r="24">
      <c r="A24" s="8" t="inlineStr">
        <is>
          <t>Other Assets</t>
        </is>
      </c>
      <c r="C24" s="16">
        <f>SUMIF(Journal_Entries[Account #],"1900",Journal_Entries[Debit])-SUMIF(Journal_Entries[Account #],"1900",Journal_Entries[Credit])</f>
        <v/>
      </c>
    </row>
    <row r="25">
      <c r="A25" s="30" t="inlineStr">
        <is>
          <t>Total Other Assets</t>
        </is>
      </c>
      <c r="C25" s="31">
        <f>SUM(C24:C24)</f>
        <v/>
      </c>
    </row>
    <row r="26">
      <c r="A26" s="37" t="inlineStr">
        <is>
          <t>TOTAL ASSETS</t>
        </is>
      </c>
      <c r="C26" s="38">
        <f>C13+C21+C25</f>
        <v/>
      </c>
    </row>
    <row r="28" ht="20" customHeight="1">
      <c r="A28" s="39" t="inlineStr">
        <is>
          <t>LIABILITIES</t>
        </is>
      </c>
    </row>
    <row r="29" ht="20" customHeight="1">
      <c r="A29" s="39" t="inlineStr">
        <is>
          <t>Current Liabilities</t>
        </is>
      </c>
    </row>
    <row r="30">
      <c r="A30" s="8" t="inlineStr">
        <is>
          <t>Accounts Payable</t>
        </is>
      </c>
      <c r="C30" s="16">
        <f>SUMIF(Journal_Entries[Account #],"2000",Journal_Entries[Credit])-SUMIF(Journal_Entries[Account #],"2000",Journal_Entries[Debit])</f>
        <v/>
      </c>
    </row>
    <row r="31">
      <c r="A31" s="7" t="inlineStr">
        <is>
          <t>Accrued Liabilities</t>
        </is>
      </c>
      <c r="C31" s="20">
        <f>SUMIF(Journal_Entries[Account #],"2100",Journal_Entries[Credit])-SUMIF(Journal_Entries[Account #],"2100",Journal_Entries[Debit])</f>
        <v/>
      </c>
    </row>
    <row r="32">
      <c r="A32" s="8" t="inlineStr">
        <is>
          <t>Sales Tax Payable</t>
        </is>
      </c>
      <c r="C32" s="16">
        <f>SUMIF(Journal_Entries[Account #],"2110",Journal_Entries[Credit])-SUMIF(Journal_Entries[Account #],"2110",Journal_Entries[Debit])</f>
        <v/>
      </c>
    </row>
    <row r="33">
      <c r="A33" s="7" t="inlineStr">
        <is>
          <t>Payroll Tax Payable</t>
        </is>
      </c>
      <c r="C33" s="20">
        <f>SUMIF(Journal_Entries[Account #],"2120",Journal_Entries[Credit])-SUMIF(Journal_Entries[Account #],"2120",Journal_Entries[Debit])</f>
        <v/>
      </c>
    </row>
    <row r="34">
      <c r="A34" s="8" t="inlineStr">
        <is>
          <t>Short-Term Loans Payable</t>
        </is>
      </c>
      <c r="C34" s="16">
        <f>SUMIF(Journal_Entries[Account #],"2200",Journal_Entries[Credit])-SUMIF(Journal_Entries[Account #],"2200",Journal_Entries[Debit])</f>
        <v/>
      </c>
    </row>
    <row r="35">
      <c r="A35" s="7" t="inlineStr">
        <is>
          <t>Deferred Revenue</t>
        </is>
      </c>
      <c r="C35" s="20">
        <f>SUMIF(Journal_Entries[Account #],"2300",Journal_Entries[Credit])-SUMIF(Journal_Entries[Account #],"2300",Journal_Entries[Debit])</f>
        <v/>
      </c>
    </row>
    <row r="36">
      <c r="A36" s="30" t="inlineStr">
        <is>
          <t>Total Current Liabilities</t>
        </is>
      </c>
      <c r="C36" s="31">
        <f>SUM(C30:C35)</f>
        <v/>
      </c>
    </row>
    <row r="38" ht="20" customHeight="1">
      <c r="A38" s="39" t="inlineStr">
        <is>
          <t>Long-Term Liabilities</t>
        </is>
      </c>
    </row>
    <row r="39">
      <c r="A39" s="7" t="inlineStr">
        <is>
          <t>Long-Term Debt</t>
        </is>
      </c>
      <c r="C39" s="20">
        <f>SUMIF(Journal_Entries[Account #],"2500",Journal_Entries[Credit])-SUMIF(Journal_Entries[Account #],"2500",Journal_Entries[Debit])</f>
        <v/>
      </c>
    </row>
    <row r="40">
      <c r="A40" s="30" t="inlineStr">
        <is>
          <t>Total Long-Term Liabilities</t>
        </is>
      </c>
      <c r="C40" s="31">
        <f>SUM(C39:C39)</f>
        <v/>
      </c>
    </row>
    <row r="41">
      <c r="A41" s="40" t="inlineStr">
        <is>
          <t>TOTAL LIABILITIES</t>
        </is>
      </c>
      <c r="C41" s="41">
        <f>C36+C40</f>
        <v/>
      </c>
    </row>
    <row r="43" ht="20" customHeight="1">
      <c r="A43" s="42" t="inlineStr">
        <is>
          <t>EQUITY</t>
        </is>
      </c>
    </row>
    <row r="44" ht="20" customHeight="1">
      <c r="A44" s="42" t="inlineStr">
        <is>
          <t>Owner's Equity / Stockholders' Equity</t>
        </is>
      </c>
    </row>
    <row r="45">
      <c r="A45" s="7" t="inlineStr">
        <is>
          <t>Common Stock</t>
        </is>
      </c>
      <c r="C45" s="20">
        <f>SUMIF(Journal_Entries[Account #],"3000",Journal_Entries[Credit])-SUMIF(Journal_Entries[Account #],"3000",Journal_Entries[Debit])</f>
        <v/>
      </c>
    </row>
    <row r="46">
      <c r="A46" s="8" t="inlineStr">
        <is>
          <t>Retained Earnings</t>
        </is>
      </c>
      <c r="C46" s="16">
        <f>SUMIF(Journal_Entries[Account #],"3100",Journal_Entries[Credit])-SUMIF(Journal_Entries[Account #],"3100",Journal_Entries[Debit])</f>
        <v/>
      </c>
    </row>
    <row r="47">
      <c r="A47" s="7" t="inlineStr">
        <is>
          <t>Owner's Draw</t>
        </is>
      </c>
      <c r="C47" s="20">
        <f>SUMIF(Journal_Entries[Account #],"3200",Journal_Entries[Credit])-SUMIF(Journal_Entries[Account #],"3200",Journal_Entries[Debit])</f>
        <v/>
      </c>
    </row>
    <row r="48">
      <c r="A48" s="30" t="inlineStr">
        <is>
          <t>Total Owner's Equity / Stockholders' Equity</t>
        </is>
      </c>
      <c r="C48" s="31">
        <f>SUM(C45:C47)</f>
        <v/>
      </c>
    </row>
    <row r="49">
      <c r="A49" s="30" t="inlineStr">
        <is>
          <t>Net Income (Current Period)</t>
        </is>
      </c>
      <c r="C49" s="31">
        <f>'P&amp;L'!C1</f>
        <v/>
      </c>
    </row>
    <row r="50">
      <c r="A50" s="32" t="inlineStr">
        <is>
          <t>TOTAL EQUITY</t>
        </is>
      </c>
      <c r="C50" s="33">
        <f>C48+C49</f>
        <v/>
      </c>
    </row>
    <row r="52">
      <c r="A52" s="43" t="inlineStr">
        <is>
          <t>TOTAL LIABILITIES + EQUITY</t>
        </is>
      </c>
      <c r="C52" s="44">
        <f>C41+C50</f>
        <v/>
      </c>
    </row>
    <row r="53">
      <c r="A53" s="26" t="inlineStr">
        <is>
          <t>Balance Check (Assets - Liab - Equity) should = 0</t>
        </is>
      </c>
      <c r="C53" s="27">
        <f>C26-C52</f>
        <v/>
      </c>
    </row>
  </sheetData>
  <mergeCells count="11">
    <mergeCell ref="A28:C28"/>
    <mergeCell ref="A44:C44"/>
    <mergeCell ref="A5:C5"/>
    <mergeCell ref="A23:C23"/>
    <mergeCell ref="A2:H2"/>
    <mergeCell ref="A1:H1"/>
    <mergeCell ref="A15:C15"/>
    <mergeCell ref="A4:C4"/>
    <mergeCell ref="A43:C43"/>
    <mergeCell ref="A38:C38"/>
    <mergeCell ref="A29:C2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CD4"/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3" max="3"/>
  </cols>
  <sheetData>
    <row r="1" ht="36" customHeight="1">
      <c r="A1" s="9" t="inlineStr">
        <is>
          <t>💧  Cash Flow Statement</t>
        </is>
      </c>
    </row>
    <row r="2" ht="18" customHeight="1">
      <c r="A2" s="10" t="inlineStr">
        <is>
          <t>For the period ending March 30, 2026</t>
        </is>
      </c>
    </row>
    <row r="4" ht="20" customHeight="1">
      <c r="A4" s="36" t="inlineStr">
        <is>
          <t>Operating Activities</t>
        </is>
      </c>
    </row>
    <row r="5">
      <c r="A5" s="7" t="inlineStr">
        <is>
          <t>Net Income</t>
        </is>
      </c>
      <c r="C5" s="20">
        <f>SUMIF(Journal_Entries[Account #],"4000",Journal_Entries[Credit])+SUMIF(Journal_Entries[Account #],"4100",Journal_Entries[Credit])-SUMIF(Journal_Entries[Account #],"6000",Journal_Entries[Debit])-SUMIF(Journal_Entries[Account #],"6220",Journal_Entries[Debit])-SUMIF(Journal_Entries[Account #],"6100",Journal_Entries[Debit])</f>
        <v/>
      </c>
    </row>
    <row r="6">
      <c r="A6" s="8" t="inlineStr">
        <is>
          <t>(Increase)/Decrease in Accounts Receivable</t>
        </is>
      </c>
      <c r="C6" s="16">
        <f>-(SUMIF(Journal_Entries[Account #],"1100",Journal_Entries[Debit])-SUMIF(Journal_Entries[Account #],"1100",Journal_Entries[Credit]))</f>
        <v/>
      </c>
    </row>
    <row r="7">
      <c r="A7" s="7" t="inlineStr">
        <is>
          <t>Increase/(Decrease) in Accounts Payable</t>
        </is>
      </c>
      <c r="C7" s="20">
        <f>SUMIF(Journal_Entries[Account #],"2000",Journal_Entries[Credit])-SUMIF(Journal_Entries[Account #],"2000",Journal_Entries[Debit])</f>
        <v/>
      </c>
    </row>
    <row r="8">
      <c r="A8" s="8" t="inlineStr">
        <is>
          <t>Increase/(Decrease) in Sales Tax Payable</t>
        </is>
      </c>
      <c r="C8" s="16">
        <f>SUMIF(Journal_Entries[Account #],"2110",Journal_Entries[Credit])-SUMIF(Journal_Entries[Account #],"2110",Journal_Entries[Debit])</f>
        <v/>
      </c>
    </row>
    <row r="9">
      <c r="A9" s="7" t="inlineStr">
        <is>
          <t>Add: Depreciation &amp; Amortization</t>
        </is>
      </c>
      <c r="C9" s="20">
        <f>SUMIF(Journal_Entries[Account #],"6500",Journal_Entries[Debit])</f>
        <v/>
      </c>
    </row>
    <row r="10">
      <c r="A10" s="30" t="inlineStr">
        <is>
          <t>Net Cash – Operating Activities</t>
        </is>
      </c>
      <c r="C10" s="31">
        <f>SUM(C5:C9)</f>
        <v/>
      </c>
    </row>
    <row r="12" ht="20" customHeight="1">
      <c r="A12" s="45" t="inlineStr">
        <is>
          <t>Investing Activities</t>
        </is>
      </c>
    </row>
    <row r="13">
      <c r="A13" s="7" t="inlineStr">
        <is>
          <t>Purchase of Equipment</t>
        </is>
      </c>
      <c r="C13" s="20">
        <f>-(SUMIF(Journal_Entries[Account #],"1500",Journal_Entries[Debit])-SUMIF(Journal_Entries[Account #],"1500",Journal_Entries[Credit]))</f>
        <v/>
      </c>
    </row>
    <row r="14">
      <c r="A14" s="8" t="inlineStr">
        <is>
          <t>Purchase of Furniture &amp; Fixtures</t>
        </is>
      </c>
      <c r="C14" s="16">
        <f>-(SUMIF(Journal_Entries[Account #],"1600",Journal_Entries[Debit])-SUMIF(Journal_Entries[Account #],"1600",Journal_Entries[Credit]))</f>
        <v/>
      </c>
    </row>
    <row r="15">
      <c r="A15" s="7" t="inlineStr">
        <is>
          <t>Proceeds from Sale of Assets</t>
        </is>
      </c>
      <c r="C15" s="20">
        <f>0</f>
        <v/>
      </c>
    </row>
    <row r="16">
      <c r="A16" s="30" t="inlineStr">
        <is>
          <t>Net Cash – Investing Activities</t>
        </is>
      </c>
      <c r="C16" s="31">
        <f>SUM(C13:C15)</f>
        <v/>
      </c>
    </row>
    <row r="18" ht="20" customHeight="1">
      <c r="A18" s="42" t="inlineStr">
        <is>
          <t>Financing Activities</t>
        </is>
      </c>
    </row>
    <row r="19">
      <c r="A19" s="7" t="inlineStr">
        <is>
          <t>Proceeds from Loans</t>
        </is>
      </c>
      <c r="C19" s="20">
        <f>SUMIF(Journal_Entries[Account #],"2500",Journal_Entries[Credit])-SUMIF(Journal_Entries[Account #],"2500",Journal_Entries[Debit])</f>
        <v/>
      </c>
    </row>
    <row r="20">
      <c r="A20" s="8" t="inlineStr">
        <is>
          <t>Repayments of Loans</t>
        </is>
      </c>
      <c r="C20" s="16">
        <f>-(SUMIF(Journal_Entries[Account #],"2200",Journal_Entries[Debit])-SUMIF(Journal_Entries[Account #],"2200",Journal_Entries[Credit]))</f>
        <v/>
      </c>
    </row>
    <row r="21">
      <c r="A21" s="7" t="inlineStr">
        <is>
          <t>Owner Contributions / (Draws)</t>
        </is>
      </c>
      <c r="C21" s="20">
        <f>SUMIF(Journal_Entries[Account #],"3000",Journal_Entries[Credit])-SUMIF(Journal_Entries[Account #],"3200",Journal_Entries[Debit])</f>
        <v/>
      </c>
    </row>
    <row r="22">
      <c r="A22" s="30" t="inlineStr">
        <is>
          <t>Net Cash – Financing Activities</t>
        </is>
      </c>
      <c r="C22" s="31">
        <f>SUM(C19:C21)</f>
        <v/>
      </c>
    </row>
    <row r="24">
      <c r="A24" s="34" t="inlineStr">
        <is>
          <t>NET CHANGE IN CASH</t>
        </is>
      </c>
      <c r="C24" s="35">
        <f>C10+C16+C22</f>
        <v/>
      </c>
    </row>
  </sheetData>
  <mergeCells count="5">
    <mergeCell ref="A2:H2"/>
    <mergeCell ref="A18:C18"/>
    <mergeCell ref="A1:H1"/>
    <mergeCell ref="A12:C12"/>
    <mergeCell ref="A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C107"/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0" customWidth="1" min="11" max="11"/>
  </cols>
  <sheetData>
    <row r="1" ht="36" customHeight="1">
      <c r="A1" s="9" t="inlineStr">
        <is>
          <t>📅  AR Aging Report</t>
        </is>
      </c>
    </row>
    <row r="2" ht="18" customHeight="1">
      <c r="A2" s="10" t="inlineStr">
        <is>
          <t>As of March 30, 2026 – Outstanding customer invoices by age</t>
        </is>
      </c>
    </row>
    <row r="3" ht="22" customHeight="1">
      <c r="A3" s="6" t="inlineStr">
        <is>
          <t>Invoice #</t>
        </is>
      </c>
      <c r="B3" s="6" t="inlineStr">
        <is>
          <t>Customer</t>
        </is>
      </c>
      <c r="C3" s="6" t="inlineStr">
        <is>
          <t>Invoice Date</t>
        </is>
      </c>
      <c r="D3" s="6" t="inlineStr">
        <is>
          <t>Due Date</t>
        </is>
      </c>
      <c r="E3" s="6" t="inlineStr">
        <is>
          <t>Total</t>
        </is>
      </c>
      <c r="F3" s="6" t="inlineStr">
        <is>
          <t>Current</t>
        </is>
      </c>
      <c r="G3" s="6" t="inlineStr">
        <is>
          <t>1-30 Days</t>
        </is>
      </c>
      <c r="H3" s="6" t="inlineStr">
        <is>
          <t>31-60 Days</t>
        </is>
      </c>
      <c r="I3" s="6" t="inlineStr">
        <is>
          <t>61-90 Days</t>
        </is>
      </c>
      <c r="J3" s="6" t="inlineStr">
        <is>
          <t>91+ Days</t>
        </is>
      </c>
      <c r="K3" s="6" t="inlineStr">
        <is>
          <t>Status</t>
        </is>
      </c>
    </row>
    <row r="4">
      <c r="A4" s="8" t="n">
        <v>1002</v>
      </c>
      <c r="B4" s="8" t="inlineStr">
        <is>
          <t>Globex Ltd</t>
        </is>
      </c>
      <c r="C4" s="15" t="n">
        <v>46081</v>
      </c>
      <c r="D4" s="15" t="n">
        <v>46111</v>
      </c>
      <c r="E4" s="16" t="n">
        <v>2681.25</v>
      </c>
      <c r="F4" s="16" t="n">
        <v>2681.25</v>
      </c>
      <c r="G4" s="16" t="n">
        <v>0</v>
      </c>
      <c r="H4" s="16" t="n">
        <v>0</v>
      </c>
      <c r="I4" s="16" t="n">
        <v>0</v>
      </c>
      <c r="J4" s="16" t="n">
        <v>0</v>
      </c>
      <c r="K4" s="8" t="inlineStr">
        <is>
          <t>Open</t>
        </is>
      </c>
    </row>
    <row r="5">
      <c r="A5" s="7" t="n">
        <v>1003</v>
      </c>
      <c r="B5" s="7" t="inlineStr">
        <is>
          <t>Acme Corporation</t>
        </is>
      </c>
      <c r="C5" s="19" t="n">
        <v>46101</v>
      </c>
      <c r="D5" s="19" t="n">
        <v>46131</v>
      </c>
      <c r="E5" s="20" t="n">
        <v>8043.75</v>
      </c>
      <c r="F5" s="20" t="n">
        <v>8043.75</v>
      </c>
      <c r="G5" s="20" t="n">
        <v>0</v>
      </c>
      <c r="H5" s="20" t="n">
        <v>0</v>
      </c>
      <c r="I5" s="20" t="n">
        <v>0</v>
      </c>
      <c r="J5" s="20" t="n">
        <v>0</v>
      </c>
      <c r="K5" s="7" t="inlineStr">
        <is>
          <t>Open</t>
        </is>
      </c>
    </row>
    <row r="6">
      <c r="A6" s="8" t="n">
        <v>1004</v>
      </c>
      <c r="B6" s="8" t="inlineStr">
        <is>
          <t>Mom &amp; Pop Shop</t>
        </is>
      </c>
      <c r="C6" s="15" t="n">
        <v>46051</v>
      </c>
      <c r="D6" s="15" t="n">
        <v>46081</v>
      </c>
      <c r="E6" s="16" t="n">
        <v>800</v>
      </c>
      <c r="F6" s="16" t="n">
        <v>0</v>
      </c>
      <c r="G6" s="16" t="n">
        <v>800</v>
      </c>
      <c r="H6" s="16" t="n">
        <v>0</v>
      </c>
      <c r="I6" s="16" t="n">
        <v>0</v>
      </c>
      <c r="J6" s="16" t="n">
        <v>0</v>
      </c>
      <c r="K6" s="8" t="inlineStr">
        <is>
          <t>Overdue</t>
        </is>
      </c>
    </row>
    <row r="8">
      <c r="A8" s="24" t="inlineStr">
        <is>
          <t>TOTALS</t>
        </is>
      </c>
      <c r="E8" s="31">
        <f>SUM(E4:E6)</f>
        <v/>
      </c>
      <c r="F8" s="31">
        <f>SUM(F4:F6)</f>
        <v/>
      </c>
      <c r="G8" s="31">
        <f>SUM(G4:G6)</f>
        <v/>
      </c>
      <c r="H8" s="31">
        <f>SUM(H4:H6)</f>
        <v/>
      </c>
      <c r="I8" s="31">
        <f>SUM(I4:I6)</f>
        <v/>
      </c>
      <c r="J8" s="31">
        <f>SUM(J4:J6)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FF5722"/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0" customWidth="1" min="11" max="11"/>
  </cols>
  <sheetData>
    <row r="1" ht="36" customHeight="1">
      <c r="A1" s="9" t="inlineStr">
        <is>
          <t>📅  AP Aging Report</t>
        </is>
      </c>
    </row>
    <row r="2" ht="18" customHeight="1">
      <c r="A2" s="10" t="inlineStr">
        <is>
          <t>As of March 30, 2026 – Outstanding vendor bills by age</t>
        </is>
      </c>
    </row>
    <row r="3" ht="22" customHeight="1">
      <c r="A3" s="6" t="inlineStr">
        <is>
          <t>Bill #</t>
        </is>
      </c>
      <c r="B3" s="6" t="inlineStr">
        <is>
          <t>Vendor</t>
        </is>
      </c>
      <c r="C3" s="6" t="inlineStr">
        <is>
          <t>Bill Date</t>
        </is>
      </c>
      <c r="D3" s="6" t="inlineStr">
        <is>
          <t>Due Date</t>
        </is>
      </c>
      <c r="E3" s="6" t="inlineStr">
        <is>
          <t>Total</t>
        </is>
      </c>
      <c r="F3" s="6" t="inlineStr">
        <is>
          <t>Current</t>
        </is>
      </c>
      <c r="G3" s="6" t="inlineStr">
        <is>
          <t>1-30 Days</t>
        </is>
      </c>
      <c r="H3" s="6" t="inlineStr">
        <is>
          <t>31-60 Days</t>
        </is>
      </c>
      <c r="I3" s="6" t="inlineStr">
        <is>
          <t>61-90 Days</t>
        </is>
      </c>
      <c r="J3" s="6" t="inlineStr">
        <is>
          <t>91+ Days</t>
        </is>
      </c>
      <c r="K3" s="6" t="inlineStr">
        <is>
          <t>Status</t>
        </is>
      </c>
    </row>
    <row r="4">
      <c r="A4" s="8" t="n">
        <v>2002</v>
      </c>
      <c r="B4" s="8" t="inlineStr">
        <is>
          <t>ABC Telecom</t>
        </is>
      </c>
      <c r="C4" s="15" t="n">
        <v>46096</v>
      </c>
      <c r="D4" s="15" t="n">
        <v>46126</v>
      </c>
      <c r="E4" s="16" t="n">
        <v>250</v>
      </c>
      <c r="F4" s="16" t="n">
        <v>250</v>
      </c>
      <c r="G4" s="16" t="n">
        <v>0</v>
      </c>
      <c r="H4" s="16" t="n">
        <v>0</v>
      </c>
      <c r="I4" s="16" t="n">
        <v>0</v>
      </c>
      <c r="J4" s="16" t="n">
        <v>0</v>
      </c>
      <c r="K4" s="8" t="inlineStr">
        <is>
          <t>Open</t>
        </is>
      </c>
    </row>
    <row r="5">
      <c r="A5" s="7" t="n">
        <v>2003</v>
      </c>
      <c r="B5" s="7" t="inlineStr">
        <is>
          <t>Smith Consulting LLC</t>
        </is>
      </c>
      <c r="C5" s="19" t="n">
        <v>46066</v>
      </c>
      <c r="D5" s="19" t="n">
        <v>46096</v>
      </c>
      <c r="E5" s="20" t="n">
        <v>3000</v>
      </c>
      <c r="F5" s="20" t="n">
        <v>0</v>
      </c>
      <c r="G5" s="20" t="n">
        <v>3000</v>
      </c>
      <c r="H5" s="20" t="n">
        <v>0</v>
      </c>
      <c r="I5" s="20" t="n">
        <v>0</v>
      </c>
      <c r="J5" s="20" t="n">
        <v>0</v>
      </c>
      <c r="K5" s="7" t="inlineStr">
        <is>
          <t>Overdue</t>
        </is>
      </c>
    </row>
    <row r="7">
      <c r="A7" s="24" t="inlineStr">
        <is>
          <t>TOTALS</t>
        </is>
      </c>
      <c r="E7" s="31">
        <f>SUM(E4:E5)</f>
        <v/>
      </c>
      <c r="F7" s="31">
        <f>SUM(F4:F5)</f>
        <v/>
      </c>
      <c r="G7" s="31">
        <f>SUM(G4:G5)</f>
        <v/>
      </c>
      <c r="H7" s="31">
        <f>SUM(H4:H5)</f>
        <v/>
      </c>
      <c r="I7" s="31">
        <f>SUM(I4:I5)</f>
        <v/>
      </c>
      <c r="J7" s="31">
        <f>SUM(J4:J5)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2026-03-30T13:54:59Z</dcterms:created>
  <dcterms:modified xsi:type="dcterms:W3CDTF">2026-03-30T13:54:59Z</dcterms:modified>
</cp:coreProperties>
</file>